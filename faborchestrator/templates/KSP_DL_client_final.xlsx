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omments19.xml" ContentType="application/vnd.openxmlformats-officedocument.spreadsheetml.comments+xml"/>
  <Override PartName="/xl/comments8.xml" ContentType="application/vnd.openxmlformats-officedocument.spreadsheetml.comments+xml"/>
  <Override PartName="/xl/comments55.xml" ContentType="application/vnd.openxmlformats-officedocument.spreadsheetml.comments+xml"/>
  <Override PartName="/xl/comments11.xml" ContentType="application/vnd.openxmlformats-officedocument.spreadsheetml.comments+xml"/>
  <Override PartName="/xl/comments159.xml" ContentType="application/vnd.openxmlformats-officedocument.spreadsheetml.comments+xml"/>
  <Override PartName="/xl/comments52.xml" ContentType="application/vnd.openxmlformats-officedocument.spreadsheetml.comments+xml"/>
  <Override PartName="/xl/comments207.xml" ContentType="application/vnd.openxmlformats-officedocument.spreadsheetml.comments+xml"/>
  <Override PartName="/xl/comments9.xml" ContentType="application/vnd.openxmlformats-officedocument.spreadsheetml.comments+xml"/>
  <Override PartName="/xl/comments79.xml" ContentType="application/vnd.openxmlformats-officedocument.spreadsheetml.comments+xml"/>
  <Override PartName="/xl/comments72.xml" ContentType="application/vnd.openxmlformats-officedocument.spreadsheetml.comments+xml"/>
  <Override PartName="/xl/comments17.xml" ContentType="application/vnd.openxmlformats-officedocument.spreadsheetml.comments+xml"/>
  <Override PartName="/xl/comments137.xml" ContentType="application/vnd.openxmlformats-officedocument.spreadsheetml.comments+xml"/>
  <Override PartName="/xl/comments10.xml" ContentType="application/vnd.openxmlformats-officedocument.spreadsheetml.comments+xml"/>
  <Override PartName="/xl/sharedStrings.xml" ContentType="application/vnd.openxmlformats-officedocument.spreadsheetml.sharedStrings+xml"/>
  <Override PartName="/xl/comments12.xml" ContentType="application/vnd.openxmlformats-officedocument.spreadsheetml.comments+xml"/>
  <Override PartName="/xl/comments15.xml" ContentType="application/vnd.openxmlformats-officedocument.spreadsheetml.comments+xml"/>
  <Override PartName="/xl/comments90.xml" ContentType="application/vnd.openxmlformats-officedocument.spreadsheetml.comments+xml"/>
  <Override PartName="/xl/comments91.xml" ContentType="application/vnd.openxmlformats-officedocument.spreadsheetml.comments+xml"/>
  <Override PartName="/xl/comments136.xml" ContentType="application/vnd.openxmlformats-officedocument.spreadsheetml.comments+xml"/>
  <Override PartName="/xl/comments23.xml" ContentType="application/vnd.openxmlformats-officedocument.spreadsheetml.comments+xml"/>
  <Override PartName="/xl/tables/table3.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comments24.xml" ContentType="application/vnd.openxmlformats-officedocument.spreadsheetml.comments+xml"/>
  <Override PartName="/xl/comments28.xml" ContentType="application/vnd.openxmlformats-officedocument.spreadsheetml.comments+xml"/>
  <Override PartName="/xl/comments21.xml" ContentType="application/vnd.openxmlformats-officedocument.spreadsheetml.comments+xml"/>
  <Override PartName="/xl/comments30.xml" ContentType="application/vnd.openxmlformats-officedocument.spreadsheetml.comments+xml"/>
  <Override PartName="/xl/comments89.xml" ContentType="application/vnd.openxmlformats-officedocument.spreadsheetml.comments+xml"/>
  <Override PartName="/xl/comments101.xml" ContentType="application/vnd.openxmlformats-officedocument.spreadsheetml.comments+xml"/>
  <Override PartName="/xl/comments6.xml" ContentType="application/vnd.openxmlformats-officedocument.spreadsheetml.comments+xml"/>
  <Override PartName="/xl/comments104.xml" ContentType="application/vnd.openxmlformats-officedocument.spreadsheetml.comments+xml"/>
  <Override PartName="/xl/comments98.xml" ContentType="application/vnd.openxmlformats-officedocument.spreadsheetml.comments+xml"/>
  <Override PartName="/xl/comments37.xml" ContentType="application/vnd.openxmlformats-officedocument.spreadsheetml.comments+xml"/>
  <Override PartName="/xl/comments97.xml" ContentType="application/vnd.openxmlformats-officedocument.spreadsheetml.comments+xml"/>
  <Override PartName="/xl/comments39.xml" ContentType="application/vnd.openxmlformats-officedocument.spreadsheetml.comments+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28.xml" ContentType="application/vnd.openxmlformats-officedocument.spreadsheetml.worksheet+xml"/>
  <Override PartName="/xl/worksheets/sheet111.xml" ContentType="application/vnd.openxmlformats-officedocument.spreadsheetml.worksheet+xml"/>
  <Override PartName="/xl/worksheets/sheet29.xml" ContentType="application/vnd.openxmlformats-officedocument.spreadsheetml.worksheet+xml"/>
  <Override PartName="/xl/worksheets/sheet19.xml" ContentType="application/vnd.openxmlformats-officedocument.spreadsheetml.worksheet+xml"/>
  <Override PartName="/xl/worksheets/sheet192.xml" ContentType="application/vnd.openxmlformats-officedocument.spreadsheetml.worksheet+xml"/>
  <Override PartName="/xl/worksheets/sheet58.xml" ContentType="application/vnd.openxmlformats-officedocument.spreadsheetml.worksheet+xml"/>
  <Override PartName="/xl/worksheets/sheet156.xml" ContentType="application/vnd.openxmlformats-officedocument.spreadsheetml.worksheet+xml"/>
  <Override PartName="/xl/worksheets/sheet193.xml" ContentType="application/vnd.openxmlformats-officedocument.spreadsheetml.worksheet+xml"/>
  <Override PartName="/xl/worksheets/sheet179.xml" ContentType="application/vnd.openxmlformats-officedocument.spreadsheetml.worksheet+xml"/>
  <Override PartName="/xl/worksheets/sheet44.xml" ContentType="application/vnd.openxmlformats-officedocument.spreadsheetml.worksheet+xml"/>
  <Override PartName="/xl/worksheets/sheet79.xml" ContentType="application/vnd.openxmlformats-officedocument.spreadsheetml.worksheet+xml"/>
  <Override PartName="/xl/worksheets/sheet91.xml" ContentType="application/vnd.openxmlformats-officedocument.spreadsheetml.worksheet+xml"/>
  <Override PartName="/xl/worksheets/sheet104.xml" ContentType="application/vnd.openxmlformats-officedocument.spreadsheetml.worksheet+xml"/>
  <Override PartName="/xl/worksheets/sheet21.xml" ContentType="application/vnd.openxmlformats-officedocument.spreadsheetml.worksheet+xml"/>
  <Override PartName="/xl/worksheets/sheet7.xml" ContentType="application/vnd.openxmlformats-officedocument.spreadsheetml.worksheet+xml"/>
  <Override PartName="/xl/worksheets/sheet23.xml" ContentType="application/vnd.openxmlformats-officedocument.spreadsheetml.worksheet+xml"/>
  <Override PartName="/xl/worksheets/sheet1.xml" ContentType="application/vnd.openxmlformats-officedocument.spreadsheetml.worksheet+xml"/>
  <Override PartName="/xl/worksheets/sheet72.xml" ContentType="application/vnd.openxmlformats-officedocument.spreadsheetml.worksheet+xml"/>
  <Override PartName="/xl/worksheets/sheet38.xml" ContentType="application/vnd.openxmlformats-officedocument.spreadsheetml.worksheet+xml"/>
  <Override PartName="/xl/worksheets/sheet3.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166.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101.xml" ContentType="application/vnd.openxmlformats-officedocument.spreadsheetml.worksheet+xml"/>
  <Override PartName="/xl/worksheets/sheet6.xml" ContentType="application/vnd.openxmlformats-officedocument.spreadsheetml.worksheet+xml"/>
  <Override PartName="/xl/worksheets/sheet103.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10.xml" ContentType="application/vnd.openxmlformats-officedocument.spreadsheetml.worksheet+xml"/>
  <Override PartName="/xl/worksheets/sheet106.xml" ContentType="application/vnd.openxmlformats-officedocument.spreadsheetml.worksheet+xml"/>
  <Override PartName="/xl/worksheets/sheet165.xml" ContentType="application/vnd.openxmlformats-officedocument.spreadsheetml.worksheet+xml"/>
  <Override PartName="/xl/worksheets/sheet14.xml" ContentType="application/vnd.openxmlformats-officedocument.spreadsheetml.worksheet+xml"/>
  <Override PartName="/xl/worksheets/sheet55.xml" ContentType="application/vnd.openxmlformats-officedocument.spreadsheetml.worksheet+xml"/>
  <Override PartName="/xl/worksheets/sheet146.xml" ContentType="application/vnd.openxmlformats-officedocument.spreadsheetml.worksheet+xml"/>
  <Override PartName="/xl/worksheets/sheet15.xml" ContentType="application/vnd.openxmlformats-officedocument.spreadsheetml.worksheet+xml"/>
  <Override PartName="/xl/worksheets/sheet108.xml" ContentType="application/vnd.openxmlformats-officedocument.spreadsheetml.worksheet+xml"/>
  <Override PartName="/xl/worksheets/sheet88.xml" ContentType="application/vnd.openxmlformats-officedocument.spreadsheetml.worksheet+xml"/>
  <Override PartName="/xl/worksheets/sheet116.xml" ContentType="application/vnd.openxmlformats-officedocument.spreadsheetml.worksheet+xml"/>
  <Override PartName="/xl/worksheets/sheet120.xml" ContentType="application/vnd.openxmlformats-officedocument.spreadsheetml.worksheet+xml"/>
  <Override PartName="/xl/worksheets/sheet164.xml" ContentType="application/vnd.openxmlformats-officedocument.spreadsheetml.worksheet+xml"/>
  <Override PartName="/xl/worksheets/sheet109.xml" ContentType="application/vnd.openxmlformats-officedocument.spreadsheetml.worksheet+xml"/>
  <Override PartName="/xl/worksheets/sheet35.xml" ContentType="application/vnd.openxmlformats-officedocument.spreadsheetml.worksheet+xml"/>
  <Override PartName="/xl/worksheets/sheet24.xml" ContentType="application/vnd.openxmlformats-officedocument.spreadsheetml.worksheet+xml"/>
  <Override PartName="/xl/worksheets/sheet42.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119.xml" ContentType="application/vnd.openxmlformats-officedocument.spreadsheetml.worksheet+xml"/>
  <Override PartName="/xl/worksheets/sheet59.xml" ContentType="application/vnd.openxmlformats-officedocument.spreadsheetml.worksheet+xml"/>
  <Override PartName="/xl/worksheets/sheet27.xml" ContentType="application/vnd.openxmlformats-officedocument.spreadsheetml.worksheet+xml"/>
  <Override PartName="/xl/worksheets/sheet99.xml" ContentType="application/vnd.openxmlformats-officedocument.spreadsheetml.worksheet+xml"/>
  <Override PartName="/xl/worksheets/sheet49.xml" ContentType="application/vnd.openxmlformats-officedocument.spreadsheetml.worksheet+xml"/>
  <Override PartName="/xl/worksheets/sheet100.xml" ContentType="application/vnd.openxmlformats-officedocument.spreadsheetml.worksheet+xml"/>
  <Override PartName="/xl/worksheets/sheet121.xml" ContentType="application/vnd.openxmlformats-officedocument.spreadsheetml.worksheet+xml"/>
  <Override PartName="/xl/worksheets/sheet30.xml" ContentType="application/vnd.openxmlformats-officedocument.spreadsheetml.worksheet+xml"/>
  <Override PartName="/xl/worksheets/sheet125.xml" ContentType="application/vnd.openxmlformats-officedocument.spreadsheetml.worksheet+xml"/>
  <Override PartName="/xl/worksheets/sheet113.xml" ContentType="application/vnd.openxmlformats-officedocument.spreadsheetml.worksheet+xml"/>
  <Override PartName="/xl/worksheets/sheet33.xml" ContentType="application/vnd.openxmlformats-officedocument.spreadsheetml.worksheet+xml"/>
  <Override PartName="/xl/worksheets/sheet85.xml" ContentType="application/vnd.openxmlformats-officedocument.spreadsheetml.worksheet+xml"/>
  <Override PartName="/xl/worksheets/sheet32.xml" ContentType="application/vnd.openxmlformats-officedocument.spreadsheetml.worksheet+xml"/>
  <Override PartName="/xl/worksheets/sheet126.xml" ContentType="application/vnd.openxmlformats-officedocument.spreadsheetml.worksheet+xml"/>
  <Override PartName="/xl/worksheets/sheet34.xml" ContentType="application/vnd.openxmlformats-officedocument.spreadsheetml.worksheet+xml"/>
  <Override PartName="/xl/worksheets/sheet20.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6.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130.xml" ContentType="application/vnd.openxmlformats-officedocument.spreadsheetml.worksheet+xml"/>
  <Override PartName="/xl/worksheets/sheet110.xml" ContentType="application/vnd.openxmlformats-officedocument.spreadsheetml.worksheet+xml"/>
  <Override PartName="/xl/worksheets/sheet131.xml" ContentType="application/vnd.openxmlformats-officedocument.spreadsheetml.worksheet+xml"/>
  <Override PartName="/xl/worksheets/sheet157.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6.xml" ContentType="application/vnd.openxmlformats-officedocument.spreadsheetml.worksheet+xml"/>
  <Override PartName="/xl/worksheets/sheet89.xml" ContentType="application/vnd.openxmlformats-officedocument.spreadsheetml.worksheet+xml"/>
  <Override PartName="/xl/worksheets/sheet138.xml" ContentType="application/vnd.openxmlformats-officedocument.spreadsheetml.worksheet+xml"/>
  <Override PartName="/xl/worksheets/sheet46.xml" ContentType="application/vnd.openxmlformats-officedocument.spreadsheetml.worksheet+xml"/>
  <Override PartName="/xl/worksheets/sheet198.xml" ContentType="application/vnd.openxmlformats-officedocument.spreadsheetml.worksheet+xml"/>
  <Override PartName="/xl/worksheets/sheet206.xml" ContentType="application/vnd.openxmlformats-officedocument.spreadsheetml.worksheet+xml"/>
  <Override PartName="/xl/worksheets/sheet140.xml" ContentType="application/vnd.openxmlformats-officedocument.spreadsheetml.worksheet+xml"/>
  <Override PartName="/xl/worksheets/sheet142.xml" ContentType="application/vnd.openxmlformats-officedocument.spreadsheetml.worksheet+xml"/>
  <Override PartName="/xl/worksheets/sheet50.xml" ContentType="application/vnd.openxmlformats-officedocument.spreadsheetml.worksheet+xml"/>
  <Override PartName="/xl/worksheets/sheet158.xml" ContentType="application/vnd.openxmlformats-officedocument.spreadsheetml.worksheet+xml"/>
  <Override PartName="/xl/worksheets/sheet144.xml" ContentType="application/vnd.openxmlformats-officedocument.spreadsheetml.worksheet+xml"/>
  <Override PartName="/xl/worksheets/sheet135.xml" ContentType="application/vnd.openxmlformats-officedocument.spreadsheetml.worksheet+xml"/>
  <Override PartName="/xl/worksheets/sheet145.xml" ContentType="application/vnd.openxmlformats-officedocument.spreadsheetml.worksheet+xml"/>
  <Override PartName="/xl/worksheets/sheet118.xml" ContentType="application/vnd.openxmlformats-officedocument.spreadsheetml.worksheet+xml"/>
  <Override PartName="/xl/worksheets/sheet122.xml" ContentType="application/vnd.openxmlformats-officedocument.spreadsheetml.worksheet+xml"/>
  <Override PartName="/xl/worksheets/sheet53.xml" ContentType="application/vnd.openxmlformats-officedocument.spreadsheetml.worksheet+xml"/>
  <Override PartName="/xl/worksheets/sheet65.xml" ContentType="application/vnd.openxmlformats-officedocument.spreadsheetml.worksheet+xml"/>
  <Override PartName="/xl/worksheets/sheet52.xml" ContentType="application/vnd.openxmlformats-officedocument.spreadsheetml.worksheet+xml"/>
  <Override PartName="/xl/worksheets/sheet45.xml" ContentType="application/vnd.openxmlformats-officedocument.spreadsheetml.worksheet+xml"/>
  <Override PartName="/xl/worksheets/sheet105.xml" ContentType="application/vnd.openxmlformats-officedocument.spreadsheetml.worksheet+xml"/>
  <Override PartName="/xl/worksheets/sheet31.xml" ContentType="application/vnd.openxmlformats-officedocument.spreadsheetml.worksheet+xml"/>
  <Override PartName="/xl/worksheets/sheet147.xml" ContentType="application/vnd.openxmlformats-officedocument.spreadsheetml.worksheet+xml"/>
  <Override PartName="/xl/worksheets/sheet90.xml" ContentType="application/vnd.openxmlformats-officedocument.spreadsheetml.worksheet+xml"/>
  <Override PartName="/xl/worksheets/sheet181.xml" ContentType="application/vnd.openxmlformats-officedocument.spreadsheetml.worksheet+xml"/>
  <Override PartName="/xl/worksheets/sheet83.xml" ContentType="application/vnd.openxmlformats-officedocument.spreadsheetml.worksheet+xml"/>
  <Override PartName="/xl/worksheets/sheet137.xml" ContentType="application/vnd.openxmlformats-officedocument.spreadsheetml.worksheet+xml"/>
  <Override PartName="/xl/worksheets/sheet171.xml" ContentType="application/vnd.openxmlformats-officedocument.spreadsheetml.worksheet+xml"/>
  <Override PartName="/xl/worksheets/sheet148.xml" ContentType="application/vnd.openxmlformats-officedocument.spreadsheetml.worksheet+xml"/>
  <Override PartName="/xl/worksheets/sheet175.xml" ContentType="application/vnd.openxmlformats-officedocument.spreadsheetml.worksheet+xml"/>
  <Override PartName="/xl/worksheets/sheet57.xml" ContentType="application/vnd.openxmlformats-officedocument.spreadsheetml.worksheet+xml"/>
  <Override PartName="/xl/worksheets/sheet5.xml" ContentType="application/vnd.openxmlformats-officedocument.spreadsheetml.worksheet+xml"/>
  <Override PartName="/xl/worksheets/sheet62.xml" ContentType="application/vnd.openxmlformats-officedocument.spreadsheetml.worksheet+xml"/>
  <Override PartName="/xl/worksheets/sheet8.xml" ContentType="application/vnd.openxmlformats-officedocument.spreadsheetml.worksheet+xml"/>
  <Override PartName="/xl/worksheets/sheet207.xml" ContentType="application/vnd.openxmlformats-officedocument.spreadsheetml.worksheet+xml"/>
  <Override PartName="/xl/worksheets/sheet92.xml" ContentType="application/vnd.openxmlformats-officedocument.spreadsheetml.worksheet+xml"/>
  <Override PartName="/xl/worksheets/sheet170.xml" ContentType="application/vnd.openxmlformats-officedocument.spreadsheetml.worksheet+xml"/>
  <Override PartName="/xl/worksheets/sheet152.xml" ContentType="application/vnd.openxmlformats-officedocument.spreadsheetml.worksheet+xml"/>
  <Override PartName="/xl/worksheets/sheet117.xml" ContentType="application/vnd.openxmlformats-officedocument.spreadsheetml.worksheet+xml"/>
  <Override PartName="/xl/worksheets/sheet74.xml" ContentType="application/vnd.openxmlformats-officedocument.spreadsheetml.worksheet+xml"/>
  <Override PartName="/xl/worksheets/sheet153.xml" ContentType="application/vnd.openxmlformats-officedocument.spreadsheetml.worksheet+xml"/>
  <Override PartName="/xl/worksheets/sheet22.xml" ContentType="application/vnd.openxmlformats-officedocument.spreadsheetml.worksheet+xml"/>
  <Override PartName="/xl/worksheets/sheet188.xml" ContentType="application/vnd.openxmlformats-officedocument.spreadsheetml.worksheet+xml"/>
  <Override PartName="/xl/worksheets/sheet154.xml" ContentType="application/vnd.openxmlformats-officedocument.spreadsheetml.worksheet+xml"/>
  <Override PartName="/xl/worksheets/sheet67.xml" ContentType="application/vnd.openxmlformats-officedocument.spreadsheetml.worksheet+xml"/>
  <Override PartName="/xl/worksheets/sheet155.xml" ContentType="application/vnd.openxmlformats-officedocument.spreadsheetml.worksheet+xml"/>
  <Override PartName="/xl/worksheets/sheet115.xml" ContentType="application/vnd.openxmlformats-officedocument.spreadsheetml.worksheet+xml"/>
  <Override PartName="/xl/worksheets/sheet64.xml" ContentType="application/vnd.openxmlformats-officedocument.spreadsheetml.worksheet+xml"/>
  <Override PartName="/xl/worksheets/sheet178.xml" ContentType="application/vnd.openxmlformats-officedocument.spreadsheetml.worksheet+xml"/>
  <Override PartName="/xl/worksheets/sheet51.xml" ContentType="application/vnd.openxmlformats-officedocument.spreadsheetml.worksheet+xml"/>
  <Override PartName="/xl/worksheets/sheet73.xml" ContentType="application/vnd.openxmlformats-officedocument.spreadsheetml.worksheet+xml"/>
  <Override PartName="/xl/worksheets/sheet66.xml" ContentType="application/vnd.openxmlformats-officedocument.spreadsheetml.worksheet+xml"/>
  <Override PartName="/xl/worksheets/sheet86.xml" ContentType="application/vnd.openxmlformats-officedocument.spreadsheetml.worksheet+xml"/>
  <Override PartName="/xl/worksheets/sheet160.xml" ContentType="application/vnd.openxmlformats-officedocument.spreadsheetml.worksheet+xml"/>
  <Override PartName="/xl/worksheets/sheet139.xml" ContentType="application/vnd.openxmlformats-officedocument.spreadsheetml.worksheet+xml"/>
  <Override PartName="/xl/worksheets/sheet114.xml" ContentType="application/vnd.openxmlformats-officedocument.spreadsheetml.worksheet+xml"/>
  <Override PartName="/xl/worksheets/sheet40.xml" ContentType="application/vnd.openxmlformats-officedocument.spreadsheetml.worksheet+xml"/>
  <Override PartName="/xl/worksheets/sheet180.xml" ContentType="application/vnd.openxmlformats-officedocument.spreadsheetml.worksheet+xml"/>
  <Override PartName="/xl/worksheets/sheet161.xml" ContentType="application/vnd.openxmlformats-officedocument.spreadsheetml.worksheet+xml"/>
  <Override PartName="/xl/worksheets/sheet107.xml" ContentType="application/vnd.openxmlformats-officedocument.spreadsheetml.worksheet+xml"/>
  <Override PartName="/xl/worksheets/sheet202.xml" ContentType="application/vnd.openxmlformats-officedocument.spreadsheetml.worksheet+xml"/>
  <Override PartName="/xl/worksheets/sheet163.xml" ContentType="application/vnd.openxmlformats-officedocument.spreadsheetml.worksheet+xml"/>
  <Override PartName="/xl/worksheets/sheet56.xml" ContentType="application/vnd.openxmlformats-officedocument.spreadsheetml.worksheet+xml"/>
  <Override PartName="/xl/worksheets/sheet82.xml" ContentType="application/vnd.openxmlformats-officedocument.spreadsheetml.worksheet+xml"/>
  <Override PartName="/xl/worksheets/sheet112.xml" ContentType="application/vnd.openxmlformats-officedocument.spreadsheetml.worksheet+xml"/>
  <Override PartName="/xl/worksheets/sheet149.xml" ContentType="application/vnd.openxmlformats-officedocument.spreadsheetml.worksheet+xml"/>
  <Override PartName="/xl/worksheets/sheet81.xml" ContentType="application/vnd.openxmlformats-officedocument.spreadsheetml.worksheet+xml"/>
  <Override PartName="/xl/worksheets/sheet162.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71.xml" ContentType="application/vnd.openxmlformats-officedocument.spreadsheetml.worksheet+xml"/>
  <Override PartName="/xl/worksheets/sheet63.xml" ContentType="application/vnd.openxmlformats-officedocument.spreadsheetml.worksheet+xml"/>
  <Override PartName="/xl/worksheets/sheet78.xml" ContentType="application/vnd.openxmlformats-officedocument.spreadsheetml.worksheet+xml"/>
  <Override PartName="/xl/worksheets/sheet203.xml" ContentType="application/vnd.openxmlformats-officedocument.spreadsheetml.worksheet+xml"/>
  <Override PartName="/xl/worksheets/sheet80.xml" ContentType="application/vnd.openxmlformats-officedocument.spreadsheetml.worksheet+xml"/>
  <Override PartName="/xl/worksheets/sheet173.xml" ContentType="application/vnd.openxmlformats-officedocument.spreadsheetml.worksheet+xml"/>
  <Override PartName="/xl/worksheets/sheet150.xml" ContentType="application/vnd.openxmlformats-officedocument.spreadsheetml.worksheet+xml"/>
  <Override PartName="/xl/worksheets/sheet47.xml" ContentType="application/vnd.openxmlformats-officedocument.spreadsheetml.worksheet+xml"/>
  <Override PartName="/xl/worksheets/sheet205.xml" ContentType="application/vnd.openxmlformats-officedocument.spreadsheetml.worksheet+xml"/>
  <Override PartName="/xl/worksheets/sheet174.xml" ContentType="application/vnd.openxmlformats-officedocument.spreadsheetml.worksheet+xml"/>
  <Override PartName="/xl/worksheets/sheet60.xml" ContentType="application/vnd.openxmlformats-officedocument.spreadsheetml.worksheet+xml"/>
  <Override PartName="/xl/worksheets/sheet176.xml" ContentType="application/vnd.openxmlformats-officedocument.spreadsheetml.worksheet+xml"/>
  <Override PartName="/xl/worksheets/sheet84.xml" ContentType="application/vnd.openxmlformats-officedocument.spreadsheetml.worksheet+xml"/>
  <Override PartName="/xl/worksheets/sheet151.xml" ContentType="application/vnd.openxmlformats-officedocument.spreadsheetml.worksheet+xml"/>
  <Override PartName="/xl/worksheets/sheet189.xml" ContentType="application/vnd.openxmlformats-officedocument.spreadsheetml.worksheet+xml"/>
  <Override PartName="/xl/worksheets/sheet177.xml" ContentType="application/vnd.openxmlformats-officedocument.spreadsheetml.worksheet+xml"/>
  <Override PartName="/xl/worksheets/sheet169.xml" ContentType="application/vnd.openxmlformats-officedocument.spreadsheetml.worksheet+xml"/>
  <Override PartName="/xl/worksheets/sheet43.xml" ContentType="application/vnd.openxmlformats-officedocument.spreadsheetml.worksheet+xml"/>
  <Override PartName="/xl/worksheets/sheet143.xml" ContentType="application/vnd.openxmlformats-officedocument.spreadsheetml.worksheet+xml"/>
  <Override PartName="/xl/worksheets/sheet129.xml" ContentType="application/vnd.openxmlformats-officedocument.spreadsheetml.worksheet+xml"/>
  <Override PartName="/xl/worksheets/sheet87.xml" ContentType="application/vnd.openxmlformats-officedocument.spreadsheetml.worksheet+xml"/>
  <Override PartName="/xl/worksheets/sheet95.xml" ContentType="application/vnd.openxmlformats-officedocument.spreadsheetml.worksheet+xml"/>
  <Override PartName="/xl/worksheets/sheet208.xml" ContentType="application/vnd.openxmlformats-officedocument.spreadsheetml.worksheet+xml"/>
  <Override PartName="/xl/worksheets/sheet200.xml" ContentType="application/vnd.openxmlformats-officedocument.spreadsheetml.worksheet+xml"/>
  <Override PartName="/xl/worksheets/sheet96.xml" ContentType="application/vnd.openxmlformats-officedocument.spreadsheetml.worksheet+xml"/>
  <Override PartName="/xl/worksheets/sheet68.xml" ContentType="application/vnd.openxmlformats-officedocument.spreadsheetml.worksheet+xml"/>
  <Override PartName="/xl/worksheets/sheet9.xml" ContentType="application/vnd.openxmlformats-officedocument.spreadsheetml.worksheet+xml"/>
  <Override PartName="/xl/worksheets/sheet102.xml" ContentType="application/vnd.openxmlformats-officedocument.spreadsheetml.worksheet+xml"/>
  <Override PartName="/xl/worksheets/sheet187.xml" ContentType="application/vnd.openxmlformats-officedocument.spreadsheetml.worksheet+xml"/>
  <Override PartName="/xl/worksheets/sheet18.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2.xml" ContentType="application/vnd.openxmlformats-officedocument.spreadsheetml.worksheet+xml"/>
  <Override PartName="/xl/worksheets/sheet184.xml" ContentType="application/vnd.openxmlformats-officedocument.spreadsheetml.worksheet+xml"/>
  <Override PartName="/xl/worksheets/sheet41.xml" ContentType="application/vnd.openxmlformats-officedocument.spreadsheetml.worksheet+xml"/>
  <Override PartName="/xl/worksheets/sheet213.xml" ContentType="application/vnd.openxmlformats-officedocument.spreadsheetml.worksheet+xml"/>
  <Override PartName="/xl/worksheets/sheet54.xml" ContentType="application/vnd.openxmlformats-officedocument.spreadsheetml.worksheet+xml"/>
  <Override PartName="/xl/worksheets/sheet185.xml" ContentType="application/vnd.openxmlformats-officedocument.spreadsheetml.worksheet+xml"/>
  <Override PartName="/xl/worksheets/sheet93.xml" ContentType="application/vnd.openxmlformats-officedocument.spreadsheetml.worksheet+xml"/>
  <Override PartName="/xl/worksheets/sheet209.xml" ContentType="application/vnd.openxmlformats-officedocument.spreadsheetml.worksheet+xml"/>
  <Override PartName="/xl/worksheets/sheet70.xml" ContentType="application/vnd.openxmlformats-officedocument.spreadsheetml.worksheet+xml"/>
  <Override PartName="/xl/worksheets/sheet186.xml" ContentType="application/vnd.openxmlformats-officedocument.spreadsheetml.worksheet+xml"/>
  <Override PartName="/xl/worksheets/sheet48.xml" ContentType="application/vnd.openxmlformats-officedocument.spreadsheetml.worksheet+xml"/>
  <Override PartName="/xl/worksheets/sheet94.xml" ContentType="application/vnd.openxmlformats-officedocument.spreadsheetml.worksheet+xml"/>
  <Override PartName="/xl/worksheets/sheet172.xml" ContentType="application/vnd.openxmlformats-officedocument.spreadsheetml.worksheet+xml"/>
  <Override PartName="/xl/worksheets/sheet211.xml" ContentType="application/vnd.openxmlformats-officedocument.spreadsheetml.worksheet+xml"/>
  <Override PartName="/xl/worksheets/sheet61.xml" ContentType="application/vnd.openxmlformats-officedocument.spreadsheetml.worksheet+xml"/>
  <Override PartName="/xl/worksheets/sheet124.xml" ContentType="application/vnd.openxmlformats-officedocument.spreadsheetml.worksheet+xml"/>
  <Override PartName="/xl/worksheets/sheet199.xml" ContentType="application/vnd.openxmlformats-officedocument.spreadsheetml.worksheet+xml"/>
  <Override PartName="/xl/worksheets/sheet141.xml" ContentType="application/vnd.openxmlformats-officedocument.spreadsheetml.worksheet+xml"/>
  <Override PartName="/xl/worksheets/sheet17.xml" ContentType="application/vnd.openxmlformats-officedocument.spreadsheetml.worksheet+xml"/>
  <Override PartName="/xl/worksheets/sheet97.xml" ContentType="application/vnd.openxmlformats-officedocument.spreadsheetml.worksheet+xml"/>
  <Override PartName="/xl/worksheets/sheet167.xml" ContentType="application/vnd.openxmlformats-officedocument.spreadsheetml.worksheet+xml"/>
  <Override PartName="/xl/worksheets/sheet98.xml" ContentType="application/vnd.openxmlformats-officedocument.spreadsheetml.worksheet+xml"/>
  <Override PartName="/xl/worksheets/sheet212.xml" ContentType="application/vnd.openxmlformats-officedocument.spreadsheetml.worksheet+xml"/>
  <Override PartName="/xl/worksheets/sheet69.xml" ContentType="application/vnd.openxmlformats-officedocument.spreadsheetml.worksheet+xml"/>
  <Override PartName="/xl/worksheets/sheet168.xml" ContentType="application/vnd.openxmlformats-officedocument.spreadsheetml.worksheet+xml"/>
  <Override PartName="/xl/worksheets/sheet159.xml" ContentType="application/vnd.openxmlformats-officedocument.spreadsheetml.worksheet+xml"/>
  <Override PartName="/xl/worksheets/sheet201.xml" ContentType="application/vnd.openxmlformats-officedocument.spreadsheetml.worksheet+xml"/>
  <Override PartName="/xl/worksheets/sheet75.xml" ContentType="application/vnd.openxmlformats-officedocument.spreadsheetml.worksheet+xml"/>
  <Override PartName="/xl/worksheets/sheet204.xml" ContentType="application/vnd.openxmlformats-officedocument.spreadsheetml.worksheet+xml"/>
  <Override PartName="/xl/worksheets/sheet10.xml" ContentType="application/vnd.openxmlformats-officedocument.spreadsheetml.worksheet+xml"/>
  <Override PartName="/xl/worksheets/sheet123.xml" ContentType="application/vnd.openxmlformats-officedocument.spreadsheetml.worksheet+xml"/>
  <Override PartName="/xl/comments176.xml" ContentType="application/vnd.openxmlformats-officedocument.spreadsheetml.comments+xml"/>
  <Override PartName="/xl/comments181.xml" ContentType="application/vnd.openxmlformats-officedocument.spreadsheetml.comments+xml"/>
  <Override PartName="/xl/comments40.xml" ContentType="application/vnd.openxmlformats-officedocument.spreadsheetml.comments+xml"/>
  <Override PartName="/xl/comments169.xml" ContentType="application/vnd.openxmlformats-officedocument.spreadsheetml.comments+xml"/>
  <Override PartName="/xl/comments111.xml" ContentType="application/vnd.openxmlformats-officedocument.spreadsheetml.comments+xml"/>
  <Override PartName="/xl/comments41.xml" ContentType="application/vnd.openxmlformats-officedocument.spreadsheetml.comments+xml"/>
  <Override PartName="/xl/comments46.xml" ContentType="application/vnd.openxmlformats-officedocument.spreadsheetml.comments+xml"/>
  <Override PartName="/xl/comments48.xml" ContentType="application/vnd.openxmlformats-officedocument.spreadsheetml.comments+xml"/>
  <Override PartName="/xl/comments119.xml" ContentType="application/vnd.openxmlformats-officedocument.spreadsheetml.comments+xml"/>
  <Override PartName="/xl/comments191.xml" ContentType="application/vnd.openxmlformats-officedocument.spreadsheetml.comments+xml"/>
  <Override PartName="/xl/comments56.xml" ContentType="application/vnd.openxmlformats-officedocument.spreadsheetml.comments+xml"/>
  <Override PartName="/xl/comments34.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1.xml" ContentType="application/vnd.openxmlformats-officedocument.spreadsheetml.comments+xml"/>
  <Override PartName="/xl/comments64.xml" ContentType="application/vnd.openxmlformats-officedocument.spreadsheetml.comments+xml"/>
  <Override PartName="/xl/comments125.xml" ContentType="application/vnd.openxmlformats-officedocument.spreadsheetml.comments+xml"/>
  <Override PartName="/xl/comments67.xml" ContentType="application/vnd.openxmlformats-officedocument.spreadsheetml.comments+xml"/>
  <Override PartName="/xl/comments38.xml" ContentType="application/vnd.openxmlformats-officedocument.spreadsheetml.comments+xml"/>
  <Override PartName="/xl/comments81.xml" ContentType="application/vnd.openxmlformats-officedocument.spreadsheetml.comments+xml"/>
  <Override PartName="/xl/comments118.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107.xml" ContentType="application/vnd.openxmlformats-officedocument.spreadsheetml.comments+xml"/>
  <Override PartName="/xl/comments80.xml" ContentType="application/vnd.openxmlformats-officedocument.spreadsheetml.comments+xml"/>
  <Override PartName="/xl/comments16.xml" ContentType="application/vnd.openxmlformats-officedocument.spreadsheetml.comments+xml"/>
  <Override PartName="/xl/comments186.xml" ContentType="application/vnd.openxmlformats-officedocument.spreadsheetml.comments+xml"/>
  <Override PartName="/xl/comments127.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96.xml" ContentType="application/vnd.openxmlformats-officedocument.spreadsheetml.comments+xml"/>
  <Override PartName="/xl/comments115.xml" ContentType="application/vnd.openxmlformats-officedocument.spreadsheetml.comments+xml"/>
  <Override PartName="/xl/comments120.xml" ContentType="application/vnd.openxmlformats-officedocument.spreadsheetml.comments+xml"/>
  <Override PartName="/xl/comments27.xml" ContentType="application/vnd.openxmlformats-officedocument.spreadsheetml.comments+xml"/>
  <Override PartName="/xl/comments210.xml" ContentType="application/vnd.openxmlformats-officedocument.spreadsheetml.comments+xml"/>
  <Override PartName="/xl/comments102.xml" ContentType="application/vnd.openxmlformats-officedocument.spreadsheetml.comments+xml"/>
  <Override PartName="/xl/comments71.xml" ContentType="application/vnd.openxmlformats-officedocument.spreadsheetml.comments+xml"/>
  <Override PartName="/xl/comments100.xml" ContentType="application/vnd.openxmlformats-officedocument.spreadsheetml.comments+xml"/>
  <Override PartName="/xl/comments183.xml" ContentType="application/vnd.openxmlformats-officedocument.spreadsheetml.comments+xml"/>
  <Override PartName="/xl/comments106.xml" ContentType="application/vnd.openxmlformats-officedocument.spreadsheetml.comments+xml"/>
  <Override PartName="/xl/comments138.xml" ContentType="application/vnd.openxmlformats-officedocument.spreadsheetml.comments+xml"/>
  <Override PartName="/xl/comments167.xml" ContentType="application/vnd.openxmlformats-officedocument.spreadsheetml.comments+xml"/>
  <Override PartName="/xl/externalLinks/externalLink1.xml" ContentType="application/vnd.openxmlformats-officedocument.spreadsheetml.externalLink+xml"/>
  <Override PartName="/xl/comments129.xml" ContentType="application/vnd.openxmlformats-officedocument.spreadsheetml.comments+xml"/>
  <Override PartName="/xl/comments189.xml" ContentType="application/vnd.openxmlformats-officedocument.spreadsheetml.comments+xml"/>
  <Override PartName="/xl/comments197.xml" ContentType="application/vnd.openxmlformats-officedocument.spreadsheetml.comments+xml"/>
  <Override PartName="/xl/workbook.xml" ContentType="application/vnd.openxmlformats-officedocument.spreadsheetml.sheet.main+xml"/>
  <Override PartName="/xl/comments198.xml" ContentType="application/vnd.openxmlformats-officedocument.spreadsheetml.comments+xml"/>
  <Override PartName="/xl/comments131.xml" ContentType="application/vnd.openxmlformats-officedocument.spreadsheetml.comments+xml"/>
  <Override PartName="/xl/comments133.xml" ContentType="application/vnd.openxmlformats-officedocument.spreadsheetml.comments+xml"/>
  <Override PartName="/xl/comments211.xml" ContentType="application/vnd.openxmlformats-officedocument.spreadsheetml.comments+xml"/>
  <Override PartName="/xl/comments105.xml" ContentType="application/vnd.openxmlformats-officedocument.spreadsheetml.comments+xml"/>
  <Override PartName="/xl/comments187.xml" ContentType="application/vnd.openxmlformats-officedocument.spreadsheetml.comments+xml"/>
  <Override PartName="/xl/comments168.xml" ContentType="application/vnd.openxmlformats-officedocument.spreadsheetml.comments+xml"/>
  <Override PartName="/xl/comments134.xml" ContentType="application/vnd.openxmlformats-officedocument.spreadsheetml.comments+xml"/>
  <Override PartName="/xl/comments177.xml" ContentType="application/vnd.openxmlformats-officedocument.spreadsheetml.comments+xml"/>
  <Override PartName="/xl/comments139.xml" ContentType="application/vnd.openxmlformats-officedocument.spreadsheetml.comments+xml"/>
  <Override PartName="/xl/comments62.xml" ContentType="application/vnd.openxmlformats-officedocument.spreadsheetml.comments+xml"/>
  <Override PartName="/xl/comments140.xml" ContentType="application/vnd.openxmlformats-officedocument.spreadsheetml.comments+xml"/>
  <Override PartName="/xl/comments116.xml" ContentType="application/vnd.openxmlformats-officedocument.spreadsheetml.comments+xml"/>
  <Override PartName="/xl/comments141.xml" ContentType="application/vnd.openxmlformats-officedocument.spreadsheetml.comments+xml"/>
  <Override PartName="/xl/comments73.xml" ContentType="application/vnd.openxmlformats-officedocument.spreadsheetml.comments+xml"/>
  <Override PartName="/xl/comments42.xml" ContentType="application/vnd.openxmlformats-officedocument.spreadsheetml.comments+xml"/>
  <Override PartName="/xl/comments144.xml" ContentType="application/vnd.openxmlformats-officedocument.spreadsheetml.comments+xml"/>
  <Override PartName="/xl/styles.xml" ContentType="application/vnd.openxmlformats-officedocument.spreadsheetml.styles+xml"/>
  <Override PartName="/xl/comments148.xml" ContentType="application/vnd.openxmlformats-officedocument.spreadsheetml.comments+xml"/>
  <Override PartName="/xl/comments103.xml" ContentType="application/vnd.openxmlformats-officedocument.spreadsheetml.comments+xml"/>
  <Override PartName="/xl/comments145.xml" ContentType="application/vnd.openxmlformats-officedocument.spreadsheetml.comments+xml"/>
  <Override PartName="/xl/comments82.xml" ContentType="application/vnd.openxmlformats-officedocument.spreadsheetml.comments+xml"/>
  <Override PartName="/xl/theme/theme1.xml" ContentType="application/vnd.openxmlformats-officedocument.theme+xml"/>
  <Override PartName="/xl/comments33.xml" ContentType="application/vnd.openxmlformats-officedocument.spreadsheetml.comments+xml"/>
  <Override PartName="/xl/comments126.xml" ContentType="application/vnd.openxmlformats-officedocument.spreadsheetml.comments+xml"/>
  <Override PartName="/xl/comments114.xml" ContentType="application/vnd.openxmlformats-officedocument.spreadsheetml.comments+xml"/>
  <Override PartName="/xl/comments121.xml" ContentType="application/vnd.openxmlformats-officedocument.spreadsheetml.comments+xml"/>
  <Override PartName="/xl/drawings/vmlDrawing19.vml" ContentType="application/vnd.openxmlformats-officedocument.vmlDrawing"/>
  <Override PartName="/xl/drawings/vmlDrawing79.vml" ContentType="application/vnd.openxmlformats-officedocument.vmlDrawing"/>
  <Override PartName="/xl/drawings/vmlDrawing10.vml" ContentType="application/vnd.openxmlformats-officedocument.vmlDrawing"/>
  <Override PartName="/xl/drawings/vmlDrawing14.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vmlDrawing20.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vmlDrawing24.vml" ContentType="application/vnd.openxmlformats-officedocument.vmlDrawing"/>
  <Override PartName="/xl/drawings/vmlDrawing27.vml" ContentType="application/vnd.openxmlformats-officedocument.vmlDrawing"/>
  <Override PartName="/xl/drawings/vmlDrawing29.vml" ContentType="application/vnd.openxmlformats-officedocument.vmlDrawing"/>
  <Override PartName="/xl/drawings/drawing8.xml" ContentType="application/vnd.openxmlformats-officedocument.drawing+xml"/>
  <Override PartName="/xl/drawings/drawing17.xml" ContentType="application/vnd.openxmlformats-officedocument.drawing+xml"/>
  <Override PartName="/xl/drawings/vmlDrawing34.vml" ContentType="application/vnd.openxmlformats-officedocument.vmlDrawing"/>
  <Override PartName="/xl/drawings/vmlDrawing9.vml" ContentType="application/vnd.openxmlformats-officedocument.vmlDrawing"/>
  <Override PartName="/xl/drawings/vmlDrawing35.vml" ContentType="application/vnd.openxmlformats-officedocument.vmlDrawing"/>
  <Override PartName="/xl/drawings/vmlDrawing32.vml" ContentType="application/vnd.openxmlformats-officedocument.vmlDrawing"/>
  <Override PartName="/xl/drawings/vmlDrawing39.vml" ContentType="application/vnd.openxmlformats-officedocument.vmlDrawing"/>
  <Override PartName="/xl/drawings/vmlDrawing43.vml" ContentType="application/vnd.openxmlformats-officedocument.vmlDrawing"/>
  <Override PartName="/xl/drawings/vmlDrawing45.vml" ContentType="application/vnd.openxmlformats-officedocument.vmlDrawing"/>
  <Override PartName="/xl/drawings/vmlDrawing46.vml" ContentType="application/vnd.openxmlformats-officedocument.vmlDrawing"/>
  <Override PartName="/xl/drawings/vmlDrawing47.vml" ContentType="application/vnd.openxmlformats-officedocument.vmlDrawing"/>
  <Override PartName="/xl/drawings/vmlDrawing48.vml" ContentType="application/vnd.openxmlformats-officedocument.vmlDrawing"/>
  <Override PartName="/xl/drawings/vmlDrawing50.vml" ContentType="application/vnd.openxmlformats-officedocument.vmlDrawing"/>
  <Override PartName="/xl/drawings/vmlDrawing52.vml" ContentType="application/vnd.openxmlformats-officedocument.vmlDrawing"/>
  <Override PartName="/xl/drawings/vmlDrawing53.vml" ContentType="application/vnd.openxmlformats-officedocument.vmlDrawing"/>
  <Override PartName="/xl/drawings/vmlDrawing55.vml" ContentType="application/vnd.openxmlformats-officedocument.vmlDrawing"/>
  <Override PartName="/xl/drawings/vmlDrawing17.vml" ContentType="application/vnd.openxmlformats-officedocument.vmlDrawing"/>
  <Override PartName="/xl/drawings/vmlDrawing60.vml" ContentType="application/vnd.openxmlformats-officedocument.vmlDrawing"/>
  <Override PartName="/xl/drawings/drawing6.xml" ContentType="application/vnd.openxmlformats-officedocument.drawing+xml"/>
  <Override PartName="/xl/drawings/vmlDrawing61.vml" ContentType="application/vnd.openxmlformats-officedocument.vmlDrawing"/>
  <Override PartName="/xl/drawings/vmlDrawing28.vml" ContentType="application/vnd.openxmlformats-officedocument.vmlDrawing"/>
  <Override PartName="/xl/drawings/drawing11.xml" ContentType="application/vnd.openxmlformats-officedocument.drawing+xml"/>
  <Override PartName="/xl/drawings/vmlDrawing13.vml" ContentType="application/vnd.openxmlformats-officedocument.vmlDrawing"/>
  <Override PartName="/xl/drawings/vmlDrawing64.vml" ContentType="application/vnd.openxmlformats-officedocument.vmlDrawing"/>
  <Override PartName="/xl/drawings/vmlDrawing3.vml" ContentType="application/vnd.openxmlformats-officedocument.vmlDrawing"/>
  <Override PartName="/xl/drawings/vmlDrawing41.vml" ContentType="application/vnd.openxmlformats-officedocument.vmlDrawing"/>
  <Override PartName="/xl/drawings/vmlDrawing65.vml" ContentType="application/vnd.openxmlformats-officedocument.vmlDrawing"/>
  <Override PartName="/xl/drawings/drawing14.xml" ContentType="application/vnd.openxmlformats-officedocument.drawing+xml"/>
  <Override PartName="/xl/drawings/vmlDrawing89.vml" ContentType="application/vnd.openxmlformats-officedocument.vmlDrawing"/>
  <Override PartName="/xl/drawings/vmlDrawing67.vml" ContentType="application/vnd.openxmlformats-officedocument.vmlDrawing"/>
  <Override PartName="/xl/drawings/vmlDrawing25.vml" ContentType="application/vnd.openxmlformats-officedocument.vmlDrawing"/>
  <Override PartName="/xl/drawings/drawing15.xml" ContentType="application/vnd.openxmlformats-officedocument.drawing+xml"/>
  <Override PartName="/xl/drawings/vmlDrawing68.vml" ContentType="application/vnd.openxmlformats-officedocument.vmlDrawing"/>
  <Override PartName="/xl/drawings/vmlDrawing11.vml" ContentType="application/vnd.openxmlformats-officedocument.vmlDrawing"/>
  <Override PartName="/xl/drawings/vmlDrawing71.vml" ContentType="application/vnd.openxmlformats-officedocument.vmlDrawing"/>
  <Override PartName="/xl/drawings/vmlDrawing72.vml" ContentType="application/vnd.openxmlformats-officedocument.vmlDrawing"/>
  <Override PartName="/xl/drawings/vmlDrawing78.vml" ContentType="application/vnd.openxmlformats-officedocument.vmlDrawing"/>
  <Override PartName="/xl/drawings/vmlDrawing73.vml" ContentType="application/vnd.openxmlformats-officedocument.vmlDrawing"/>
  <Override PartName="/xl/drawings/vmlDrawing15.vml" ContentType="application/vnd.openxmlformats-officedocument.vmlDrawing"/>
  <Override PartName="/xl/drawings/vmlDrawing74.vml" ContentType="application/vnd.openxmlformats-officedocument.vmlDrawing"/>
  <Override PartName="/xl/drawings/vmlDrawing75.vml" ContentType="application/vnd.openxmlformats-officedocument.vmlDrawing"/>
  <Override PartName="/xl/drawings/vmlDrawing6.vml" ContentType="application/vnd.openxmlformats-officedocument.vmlDrawing"/>
  <Override PartName="/xl/drawings/vmlDrawing81.vml" ContentType="application/vnd.openxmlformats-officedocument.vmlDrawing"/>
  <Override PartName="/xl/drawings/vmlDrawing136.vml" ContentType="application/vnd.openxmlformats-officedocument.vmlDrawing"/>
  <Override PartName="/xl/drawings/vmlDrawing129.vml" ContentType="application/vnd.openxmlformats-officedocument.vmlDrawing"/>
  <Override PartName="/xl/drawings/vmlDrawing82.vml" ContentType="application/vnd.openxmlformats-officedocument.vmlDrawing"/>
  <Override PartName="/xl/drawings/vmlDrawing83.vml" ContentType="application/vnd.openxmlformats-officedocument.vmlDrawing"/>
  <Override PartName="/xl/drawings/vmlDrawing145.vml" ContentType="application/vnd.openxmlformats-officedocument.vmlDrawing"/>
  <Override PartName="/xl/drawings/vmlDrawing84.vml" ContentType="application/vnd.openxmlformats-officedocument.vmlDrawing"/>
  <Override PartName="/xl/drawings/vmlDrawing86.vml" ContentType="application/vnd.openxmlformats-officedocument.vmlDrawing"/>
  <Override PartName="/xl/drawings/vmlDrawing87.vml" ContentType="application/vnd.openxmlformats-officedocument.vmlDrawing"/>
  <Override PartName="/xl/drawings/vmlDrawing88.vml" ContentType="application/vnd.openxmlformats-officedocument.vmlDrawing"/>
  <Override PartName="/xl/drawings/vmlDrawing91.vml" ContentType="application/vnd.openxmlformats-officedocument.vmlDrawing"/>
  <Override PartName="/xl/drawings/drawing19.xml" ContentType="application/vnd.openxmlformats-officedocument.drawing+xml"/>
  <Override PartName="/xl/drawings/vmlDrawing92.vml" ContentType="application/vnd.openxmlformats-officedocument.vmlDrawing"/>
  <Override PartName="/xl/drawings/vmlDrawing119.vml" ContentType="application/vnd.openxmlformats-officedocument.vmlDrawing"/>
  <Override PartName="/xl/drawings/vmlDrawing76.vml" ContentType="application/vnd.openxmlformats-officedocument.vmlDrawing"/>
  <Override PartName="/xl/drawings/vmlDrawing97.vml" ContentType="application/vnd.openxmlformats-officedocument.vmlDrawing"/>
  <Override PartName="/xl/drawings/vmlDrawing77.vml" ContentType="application/vnd.openxmlformats-officedocument.vmlDrawing"/>
  <Override PartName="/xl/drawings/vmlDrawing98.vml" ContentType="application/vnd.openxmlformats-officedocument.vmlDrawing"/>
  <Override PartName="/xl/drawings/vmlDrawing2.vml" ContentType="application/vnd.openxmlformats-officedocument.vmlDrawing"/>
  <Override PartName="/xl/drawings/vmlDrawing100.vml" ContentType="application/vnd.openxmlformats-officedocument.vmlDrawing"/>
  <Override PartName="/xl/drawings/vmlDrawing112.vml" ContentType="application/vnd.openxmlformats-officedocument.vmlDrawing"/>
  <Override PartName="/xl/drawings/vmlDrawing102.vml" ContentType="application/vnd.openxmlformats-officedocument.vmlDrawing"/>
  <Override PartName="/xl/drawings/vmlDrawing103.vml" ContentType="application/vnd.openxmlformats-officedocument.vmlDrawing"/>
  <Override PartName="/xl/drawings/vmlDrawing16.vml" ContentType="application/vnd.openxmlformats-officedocument.vmlDrawing"/>
  <Override PartName="/xl/drawings/drawing10.xml" ContentType="application/vnd.openxmlformats-officedocument.drawing+xml"/>
  <Override PartName="/xl/drawings/vmlDrawing30.vml" ContentType="application/vnd.openxmlformats-officedocument.vmlDrawing"/>
  <Override PartName="/xl/drawings/vmlDrawing90.vml" ContentType="application/vnd.openxmlformats-officedocument.vmlDrawing"/>
  <Override PartName="/xl/drawings/vmlDrawing31.vml" ContentType="application/vnd.openxmlformats-officedocument.vmlDrawing"/>
  <Override PartName="/xl/drawings/vmlDrawing104.vml" ContentType="application/vnd.openxmlformats-officedocument.vmlDrawing"/>
  <Override PartName="/xl/drawings/vmlDrawing1.vml" ContentType="application/vnd.openxmlformats-officedocument.vmlDrawing"/>
  <Override PartName="/xl/drawings/vmlDrawing141.vml" ContentType="application/vnd.openxmlformats-officedocument.vmlDrawing"/>
  <Override PartName="/xl/drawings/vmlDrawing105.vml" ContentType="application/vnd.openxmlformats-officedocument.vmlDrawing"/>
  <Override PartName="/xl/drawings/vmlDrawing107.vml" ContentType="application/vnd.openxmlformats-officedocument.vmlDrawing"/>
  <Override PartName="/xl/drawings/vmlDrawing37.vml" ContentType="application/vnd.openxmlformats-officedocument.vmlDrawing"/>
  <Override PartName="/xl/drawings/vmlDrawing143.vml" ContentType="application/vnd.openxmlformats-officedocument.vmlDrawing"/>
  <Override PartName="/xl/drawings/vmlDrawing80.vml" ContentType="application/vnd.openxmlformats-officedocument.vmlDrawing"/>
  <Override PartName="/xl/drawings/vmlDrawing109.vml" ContentType="application/vnd.openxmlformats-officedocument.vmlDrawing"/>
  <Override PartName="/xl/drawings/vmlDrawing110.vml" ContentType="application/vnd.openxmlformats-officedocument.vmlDrawing"/>
  <Override PartName="/xl/drawings/vmlDrawing62.vml" ContentType="application/vnd.openxmlformats-officedocument.vmlDrawing"/>
  <Override PartName="/xl/drawings/drawing12.xml" ContentType="application/vnd.openxmlformats-officedocument.drawing+xml"/>
  <Override PartName="/xl/drawings/vmlDrawing111.vml" ContentType="application/vnd.openxmlformats-officedocument.vmlDrawing"/>
  <Override PartName="/xl/drawings/drawing3.xml" ContentType="application/vnd.openxmlformats-officedocument.drawing+xml"/>
  <Override PartName="/xl/drawings/vmlDrawing49.vml" ContentType="application/vnd.openxmlformats-officedocument.vmlDrawing"/>
  <Override PartName="/xl/drawings/vmlDrawing114.vml" ContentType="application/vnd.openxmlformats-officedocument.vmlDrawing"/>
  <Override PartName="/xl/drawings/vmlDrawing127.vml" ContentType="application/vnd.openxmlformats-officedocument.vmlDrawing"/>
  <Override PartName="/xl/drawings/vmlDrawing99.vml" ContentType="application/vnd.openxmlformats-officedocument.vmlDrawing"/>
  <Override PartName="/xl/drawings/vmlDrawing116.vml" ContentType="application/vnd.openxmlformats-officedocument.vmlDrawing"/>
  <Override PartName="/xl/drawings/vmlDrawing38.vml" ContentType="application/vnd.openxmlformats-officedocument.vmlDrawing"/>
  <Override PartName="/xl/drawings/vmlDrawing118.vml" ContentType="application/vnd.openxmlformats-officedocument.vmlDrawing"/>
  <Override PartName="/xl/drawings/vmlDrawing36.vml" ContentType="application/vnd.openxmlformats-officedocument.vmlDrawing"/>
  <Override PartName="/xl/drawings/vmlDrawing131.vml" ContentType="application/vnd.openxmlformats-officedocument.vmlDrawing"/>
  <Override PartName="/xl/drawings/drawing18.xml" ContentType="application/vnd.openxmlformats-officedocument.drawing+xml"/>
  <Override PartName="/xl/drawings/vmlDrawing121.vml" ContentType="application/vnd.openxmlformats-officedocument.vmlDrawing"/>
  <Override PartName="/xl/drawings/vmlDrawing134.vml" ContentType="application/vnd.openxmlformats-officedocument.vmlDrawing"/>
  <Override PartName="/xl/drawings/vmlDrawing122.vml" ContentType="application/vnd.openxmlformats-officedocument.vmlDrawing"/>
  <Override PartName="/xl/drawings/vmlDrawing128.vml" ContentType="application/vnd.openxmlformats-officedocument.vmlDrawing"/>
  <Override PartName="/xl/drawings/vmlDrawing70.vml" ContentType="application/vnd.openxmlformats-officedocument.vmlDrawing"/>
  <Override PartName="/xl/drawings/vmlDrawing151.vml" ContentType="application/vnd.openxmlformats-officedocument.vmlDrawing"/>
  <Override PartName="/xl/drawings/vmlDrawing123.vml" ContentType="application/vnd.openxmlformats-officedocument.vmlDrawing"/>
  <Override PartName="/xl/drawings/vmlDrawing126.vml" ContentType="application/vnd.openxmlformats-officedocument.vmlDrawing"/>
  <Override PartName="/xl/drawings/vmlDrawing115.vml" ContentType="application/vnd.openxmlformats-officedocument.vmlDrawing"/>
  <Override PartName="/xl/drawings/vmlDrawing124.vml" ContentType="application/vnd.openxmlformats-officedocument.vmlDrawing"/>
  <Override PartName="/xl/drawings/vmlDrawing137.vml" ContentType="application/vnd.openxmlformats-officedocument.vmlDrawing"/>
  <Override PartName="/xl/drawings/vmlDrawing106.vml" ContentType="application/vnd.openxmlformats-officedocument.vmlDrawing"/>
  <Override PartName="/xl/drawings/vmlDrawing66.vml" ContentType="application/vnd.openxmlformats-officedocument.vmlDrawing"/>
  <Override PartName="/xl/drawings/vmlDrawing12.vml" ContentType="application/vnd.openxmlformats-officedocument.vmlDrawing"/>
  <Override PartName="/xl/drawings/vmlDrawing23.vml" ContentType="application/vnd.openxmlformats-officedocument.vmlDrawing"/>
  <Override PartName="/xl/drawings/vmlDrawing125.vml" ContentType="application/vnd.openxmlformats-officedocument.vmlDrawing"/>
  <Override PartName="/xl/drawings/drawing9.xml" ContentType="application/vnd.openxmlformats-officedocument.drawing+xml"/>
  <Override PartName="/xl/drawings/vmlDrawing33.vml" ContentType="application/vnd.openxmlformats-officedocument.vmlDrawing"/>
  <Override PartName="/xl/drawings/vmlDrawing135.vml" ContentType="application/vnd.openxmlformats-officedocument.vmlDrawing"/>
  <Override PartName="/xl/drawings/vmlDrawing40.vml" ContentType="application/vnd.openxmlformats-officedocument.vmlDrawing"/>
  <Override PartName="/xl/drawings/vmlDrawing130.vml" ContentType="application/vnd.openxmlformats-officedocument.vmlDrawing"/>
  <Override PartName="/xl/drawings/vmlDrawing8.vml" ContentType="application/vnd.openxmlformats-officedocument.vmlDrawing"/>
  <Override PartName="/xl/drawings/vmlDrawing117.vml" ContentType="application/vnd.openxmlformats-officedocument.vmlDrawing"/>
  <Override PartName="/xl/drawings/vmlDrawing7.vml" ContentType="application/vnd.openxmlformats-officedocument.vmlDrawing"/>
  <Override PartName="/xl/drawings/vmlDrawing93.vml" ContentType="application/vnd.openxmlformats-officedocument.vmlDrawing"/>
  <Override PartName="/xl/drawings/vmlDrawing44.vml" ContentType="application/vnd.openxmlformats-officedocument.vmlDrawing"/>
  <Override PartName="/xl/drawings/vmlDrawing85.vml" ContentType="application/vnd.openxmlformats-officedocument.vmlDrawing"/>
  <Override PartName="/xl/drawings/vmlDrawing69.vml" ContentType="application/vnd.openxmlformats-officedocument.vmlDrawing"/>
  <Override PartName="/xl/drawings/vmlDrawing101.vml" ContentType="application/vnd.openxmlformats-officedocument.vmlDrawing"/>
  <Override PartName="/xl/drawings/vmlDrawing132.vml" ContentType="application/vnd.openxmlformats-officedocument.vmlDrawing"/>
  <Override PartName="/xl/drawings/vmlDrawing96.vml" ContentType="application/vnd.openxmlformats-officedocument.vmlDrawing"/>
  <Override PartName="/xl/drawings/vmlDrawing18.vml" ContentType="application/vnd.openxmlformats-officedocument.vmlDrawing"/>
  <Override PartName="/xl/drawings/vmlDrawing139.vml" ContentType="application/vnd.openxmlformats-officedocument.vmlDrawing"/>
  <Override PartName="/xl/drawings/vmlDrawing51.vml" ContentType="application/vnd.openxmlformats-officedocument.vmlDrawing"/>
  <Override PartName="/xl/drawings/vmlDrawing113.vml" ContentType="application/vnd.openxmlformats-officedocument.vmlDrawing"/>
  <Override PartName="/xl/drawings/vmlDrawing21.vml" ContentType="application/vnd.openxmlformats-officedocument.vmlDrawing"/>
  <Override PartName="/xl/drawings/vmlDrawing150.vml" ContentType="application/vnd.openxmlformats-officedocument.vmlDrawing"/>
  <Override PartName="/xl/drawings/vmlDrawing22.vml" ContentType="application/vnd.openxmlformats-officedocument.vmlDrawing"/>
  <Override PartName="/xl/drawings/vmlDrawing144.vml" ContentType="application/vnd.openxmlformats-officedocument.vmlDrawing"/>
  <Override PartName="/xl/drawings/vmlDrawing148.vml" ContentType="application/vnd.openxmlformats-officedocument.vmlDrawing"/>
  <Override PartName="/xl/drawings/vmlDrawing108.vml" ContentType="application/vnd.openxmlformats-officedocument.vmlDrawing"/>
  <Override PartName="/xl/drawings/vmlDrawing54.vml" ContentType="application/vnd.openxmlformats-officedocument.vmlDrawing"/>
  <Override PartName="/xl/drawings/vmlDrawing4.vml" ContentType="application/vnd.openxmlformats-officedocument.vmlDrawing"/>
  <Override PartName="/xl/drawings/vmlDrawing133.vml" ContentType="application/vnd.openxmlformats-officedocument.vmlDrawing"/>
  <Override PartName="/xl/drawings/vmlDrawing56.vml" ContentType="application/vnd.openxmlformats-officedocument.vmlDrawing"/>
  <Override PartName="/xl/drawings/vmlDrawing57.vml" ContentType="application/vnd.openxmlformats-officedocument.vmlDrawing"/>
  <Override PartName="/xl/drawings/drawing13.xml" ContentType="application/vnd.openxmlformats-officedocument.drawing+xml"/>
  <Override PartName="/xl/drawings/vmlDrawing42.vml" ContentType="application/vnd.openxmlformats-officedocument.vmlDrawing"/>
  <Override PartName="/xl/drawings/vmlDrawing146.vml" ContentType="application/vnd.openxmlformats-officedocument.vmlDrawing"/>
  <Override PartName="/xl/drawings/vmlDrawing58.vml" ContentType="application/vnd.openxmlformats-officedocument.vmlDrawing"/>
  <Override PartName="/xl/drawings/vmlDrawing59.vml" ContentType="application/vnd.openxmlformats-officedocument.vmlDrawing"/>
  <Override PartName="/xl/drawings/vmlDrawing63.vml" ContentType="application/vnd.openxmlformats-officedocument.vmlDrawing"/>
  <Override PartName="/xl/drawings/vmlDrawing94.vml" ContentType="application/vnd.openxmlformats-officedocument.vmlDrawing"/>
  <Override PartName="/xl/drawings/vmlDrawing138.vml" ContentType="application/vnd.openxmlformats-officedocument.vmlDrawing"/>
  <Override PartName="/xl/drawings/vmlDrawing5.vml" ContentType="application/vnd.openxmlformats-officedocument.vmlDrawing"/>
  <Override PartName="/xl/drawings/vmlDrawing140.vml" ContentType="application/vnd.openxmlformats-officedocument.vmlDrawing"/>
  <Override PartName="/xl/drawings/vmlDrawing149.vml" ContentType="application/vnd.openxmlformats-officedocument.vmlDrawing"/>
  <Override PartName="/xl/drawings/vmlDrawing26.vml" ContentType="application/vnd.openxmlformats-officedocument.vmlDrawing"/>
  <Override PartName="/xl/drawings/vmlDrawing147.vml" ContentType="application/vnd.openxmlformats-officedocument.vmlDrawing"/>
  <Override PartName="/xl/drawings/drawing16.xml" ContentType="application/vnd.openxmlformats-officedocument.drawing+xml"/>
  <Override PartName="/xl/drawings/vmlDrawing120.vml" ContentType="application/vnd.openxmlformats-officedocument.vmlDrawing"/>
  <Override PartName="/xl/drawings/vmlDrawing95.vml" ContentType="application/vnd.openxmlformats-officedocument.vmlDrawing"/>
  <Override PartName="/xl/drawings/vmlDrawing142.vml" ContentType="application/vnd.openxmlformats-officedocument.vmlDrawing"/>
  <Override PartName="/xl/comments74.xml" ContentType="application/vnd.openxmlformats-officedocument.spreadsheetml.comments+xml"/>
  <Override PartName="/xl/comments149.xml" ContentType="application/vnd.openxmlformats-officedocument.spreadsheetml.comments+xml"/>
  <Override PartName="/xl/comments54.xml" ContentType="application/vnd.openxmlformats-officedocument.spreadsheetml.comments+xml"/>
  <Override PartName="/xl/comments78.xml" ContentType="application/vnd.openxmlformats-officedocument.spreadsheetml.comments+xml"/>
  <Override PartName="/xl/comments57.xml" ContentType="application/vnd.openxmlformats-officedocument.spreadsheetml.comments+xml"/>
  <Override PartName="/xl/comments157.xml" ContentType="application/vnd.openxmlformats-officedocument.spreadsheetml.comments+xml"/>
  <Override PartName="/xl/comments153.xml" ContentType="application/vnd.openxmlformats-officedocument.spreadsheetml.comments+xml"/>
  <Override PartName="/xl/comments158.xml" ContentType="application/vnd.openxmlformats-officedocument.spreadsheetml.comments+xml"/>
  <Override PartName="/xl/comments201.xml" ContentType="application/vnd.openxmlformats-officedocument.spreadsheetml.comments+xml"/>
  <Override PartName="/xl/comments20.xml" ContentType="application/vnd.openxmlformats-officedocument.spreadsheetml.comments+xml"/>
  <Override PartName="/xl/comments123.xml" ContentType="application/vnd.openxmlformats-officedocument.spreadsheetml.comments+xml"/>
  <Override PartName="/xl/comments26.xml" ContentType="application/vnd.openxmlformats-officedocument.spreadsheetml.comments+xml"/>
  <Override PartName="/xl/comments188.xml" ContentType="application/vnd.openxmlformats-officedocument.spreadsheetml.comments+xml"/>
  <Override PartName="/xl/comments202.xml" ContentType="application/vnd.openxmlformats-officedocument.spreadsheetml.comments+xml"/>
  <Override PartName="/xl/comments113.xml" ContentType="application/vnd.openxmlformats-officedocument.spreadsheetml.comments+xml"/>
  <Override PartName="/xl/comments185.xml" ContentType="application/vnd.openxmlformats-officedocument.spreadsheetml.comments+xml"/>
  <Override PartName="/xl/comments47.xml" ContentType="application/vnd.openxmlformats-officedocument.spreadsheetml.comments+xml"/>
  <Override PartName="/xl/comments66.xml" ContentType="application/vnd.openxmlformats-officedocument.spreadsheetml.comments+xml"/>
  <Override PartName="/xl/comments173.xml" ContentType="application/vnd.openxmlformats-officedocument.spreadsheetml.comments+xml"/>
  <Override PartName="/xl/comments205.xml" ContentType="application/vnd.openxmlformats-officedocument.spreadsheetml.comments+xml"/>
  <Override PartName="/xl/comments135.xml" ContentType="application/vnd.openxmlformats-officedocument.spreadsheetml.comments+xml"/>
  <Override PartName="/xl/comments190.xml" ContentType="application/vnd.openxmlformats-officedocument.spreadsheetml.comments+xml"/>
  <Override PartName="/xl/comments7.xml" ContentType="application/vnd.openxmlformats-officedocument.spreadsheetml.comments+xml"/>
  <Override PartName="/xl/comments154.xml" ContentType="application/vnd.openxmlformats-officedocument.spreadsheetml.comments+xml"/>
  <Override PartName="/xl/comments49.xml" ContentType="application/vnd.openxmlformats-officedocument.spreadsheetml.comments+xml"/>
  <Override PartName="/xl/comments92.xml" ContentType="application/vnd.openxmlformats-officedocument.spreadsheetml.comments+xml"/>
  <Override PartName="/xl/comments213.xml" ContentType="application/vnd.openxmlformats-officedocument.spreadsheetml.comments+xml"/>
  <Override PartName="/xl/comments179.xml" ContentType="application/vnd.openxmlformats-officedocument.spreadsheetml.comments+xml"/>
  <Override PartName="/xl/comments171.xml" ContentType="application/vnd.openxmlformats-officedocument.spreadsheetml.comments+xml"/>
  <Override PartName="/xl/comments109.xml" ContentType="application/vnd.openxmlformats-officedocument.spreadsheetml.comments+xml"/>
  <Override PartName="/xl/comments68.xml" ContentType="application/vnd.openxmlformats-officedocument.spreadsheetml.comments+xml"/>
  <Override PartName="/xl/comments60.xml" ContentType="application/vnd.openxmlformats-officedocument.spreadsheetml.comments+xml"/>
  <Override PartName="/xl/comments130.xml" ContentType="application/vnd.openxmlformats-officedocument.spreadsheetml.comments+xml"/>
  <Override PartName="/xl/comments178.xml" ContentType="application/vnd.openxmlformats-officedocument.spreadsheetml.comments+xml"/>
  <Override PartName="/xl/comments203.xml" ContentType="application/vnd.openxmlformats-officedocument.spreadsheetml.comments+xml"/>
  <Override PartName="/xl/comments208.xml" ContentType="application/vnd.openxmlformats-officedocument.spreadsheetml.comments+xml"/>
  <Override PartName="/xl/comments36.xml" ContentType="application/vnd.openxmlformats-officedocument.spreadsheetml.comments+xml"/>
  <Override PartName="/xl/comments204.xml" ContentType="application/vnd.openxmlformats-officedocument.spreadsheetml.comments+xml"/>
  <Override PartName="/xl/comments132.xml" ContentType="application/vnd.openxmlformats-officedocument.spreadsheetml.comments+xml"/>
  <Override PartName="/xl/comments2.xml" ContentType="application/vnd.openxmlformats-officedocument.spreadsheetml.comments+xml"/>
  <Override PartName="/xl/comments206.xml" ContentType="application/vnd.openxmlformats-officedocument.spreadsheetml.comments+xml"/>
  <Override PartName="/xl/comments51.xml" ContentType="application/vnd.openxmlformats-officedocument.spreadsheetml.comments+xml"/>
  <Override PartName="/xl/comments108.xml" ContentType="application/vnd.openxmlformats-officedocument.spreadsheetml.comments+xml"/>
  <Override PartName="/xl/comments83.xml" ContentType="application/vnd.openxmlformats-officedocument.spreadsheetml.comments+xml"/>
  <Override PartName="/xl/comments209.xml" ContentType="application/vnd.openxmlformats-officedocument.spreadsheetml.comments+xml"/>
  <Override PartName="/xl/comments18.xml" ContentType="application/vnd.openxmlformats-officedocument.spreadsheetml.comments+xml"/>
  <Override PartName="/xl/comments170.xml" ContentType="application/vnd.openxmlformats-officedocument.spreadsheetml.comments+xml"/>
  <Override PartName="/xl/comments32.xml" ContentType="application/vnd.openxmlformats-officedocument.spreadsheetml.comments+xml"/>
  <Override PartName="/xl/comments65.xml" ContentType="application/vnd.openxmlformats-officedocument.spreadsheetml.comments+xml"/>
  <Override PartName="/xl/comments12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17" firstSheet="0" activeTab="6"/>
  </bookViews>
  <sheets>
    <sheet name="Index" sheetId="1" state="visible" r:id="rId3"/>
    <sheet name="Config" sheetId="2" state="visible" r:id="rId4"/>
    <sheet name="Formats" sheetId="3" state="visible" r:id="rId5"/>
    <sheet name="Assumptions" sheetId="4" state="visible" r:id="rId6"/>
    <sheet name="WorksheetNameMapping" sheetId="5" state="visible" r:id="rId7"/>
    <sheet name="Enums" sheetId="6" state="visible" r:id="rId8"/>
    <sheet name="&lt;SM&gt;Config" sheetId="7" state="visible" r:id="rId9"/>
    <sheet name="&lt;SM&gt;Role" sheetId="8" state="visible" r:id="rId10"/>
    <sheet name="&lt;SM&gt;Features" sheetId="9" state="visible" r:id="rId11"/>
    <sheet name="&lt;SM&gt;DataGroup" sheetId="10" state="visible" r:id="rId12"/>
    <sheet name="&lt;SM&gt;User" sheetId="11" state="visible" r:id="rId13"/>
    <sheet name="&lt;SM&gt;ReportFolder" sheetId="12" state="visible" r:id="rId14"/>
    <sheet name="&lt;SM&gt;LookupTableValues" sheetId="13" state="visible" r:id="rId15"/>
    <sheet name="&lt;SM&gt;LocalizedMessageKey" sheetId="14" state="visible" r:id="rId16"/>
    <sheet name="&lt;SM&gt;EntityType" sheetId="15" state="hidden" r:id="rId17"/>
    <sheet name="&lt;SM&gt;NameGenerator" sheetId="16" state="visible" r:id="rId18"/>
    <sheet name="&lt;SM&gt;EntityTypeProperty" sheetId="17" state="visible" r:id="rId19"/>
    <sheet name="&lt;SM&gt;StateModel" sheetId="18" state="hidden" r:id="rId20"/>
    <sheet name="StateModelState" sheetId="19" state="hidden" r:id="rId21"/>
    <sheet name="StateModelTransition" sheetId="20" state="hidden" r:id="rId22"/>
    <sheet name="&lt;SM&gt;DEEAction" sheetId="21" state="hidden" r:id="rId23"/>
    <sheet name="DEEActionOrder" sheetId="22" state="hidden" r:id="rId24"/>
    <sheet name="&lt;GT&gt;ScopeClassifications" sheetId="23" state="hidden" r:id="rId25"/>
    <sheet name="&lt;DM&gt;Rule" sheetId="24" state="hidden" r:id="rId26"/>
    <sheet name="&lt;GT&gt;ChangeSetUrgency" sheetId="25" state="hidden" r:id="rId27"/>
    <sheet name="&lt;DM&gt;ChangeSet" sheetId="26" state="hidden" r:id="rId28"/>
    <sheet name="&lt;SM&gt;ImportObject" sheetId="27" state="hidden" r:id="rId29"/>
    <sheet name="&lt;DM&gt;SortRuleSet" sheetId="28" state="visible" r:id="rId30"/>
    <sheet name="&lt;DM&gt;Folder" sheetId="29" state="hidden" r:id="rId31"/>
    <sheet name="&lt;DM&gt;Document" sheetId="30" state="hidden" r:id="rId32"/>
    <sheet name="DocumentApplicableRole" sheetId="31" state="hidden" r:id="rId33"/>
    <sheet name="&lt;GT&gt;QualificationProficiency" sheetId="32" state="hidden" r:id="rId34"/>
    <sheet name="&lt;DM&gt;Qualification" sheetId="33" state="hidden" r:id="rId35"/>
    <sheet name="&lt;DM&gt;Certification" sheetId="34" state="hidden" r:id="rId36"/>
    <sheet name="&lt;LOOKUP&gt;CertifReqQualif" sheetId="35" state="hidden" r:id="rId37"/>
    <sheet name="&lt;DM&gt;Calendar" sheetId="36" state="visible" r:id="rId38"/>
    <sheet name="&lt;DM&gt;Team" sheetId="37" state="visible" r:id="rId39"/>
    <sheet name="&lt;DM&gt;ShiftDefinition" sheetId="38" state="visible" r:id="rId40"/>
    <sheet name="ShiftDefinitionShift" sheetId="39" state="visible" r:id="rId41"/>
    <sheet name="&lt;DM&gt;CalendarDay" sheetId="40" state="hidden" r:id="rId42"/>
    <sheet name="&lt;DM&gt;Schedule" sheetId="41" state="hidden" r:id="rId43"/>
    <sheet name="ScheduleOptimizationCriteria" sheetId="42" state="hidden" r:id="rId44"/>
    <sheet name="ScheduleSortRule" sheetId="43" state="hidden" r:id="rId45"/>
    <sheet name="&lt;DM&gt;ScheduleScenario" sheetId="44" state="hidden" r:id="rId46"/>
    <sheet name="&lt;DM&gt;Enterprise" sheetId="45" state="visible" r:id="rId47"/>
    <sheet name="&lt;DM&gt;Site" sheetId="46" state="visible" r:id="rId48"/>
    <sheet name="&lt;DM&gt;Facility" sheetId="47" state="visible" r:id="rId49"/>
    <sheet name="&lt;DM&gt;Area" sheetId="48" state="visible" r:id="rId50"/>
    <sheet name="&lt;DM&gt;Service" sheetId="49" state="visible" r:id="rId51"/>
    <sheet name="&lt;DM&gt;CompatibleService" sheetId="50" state="hidden" r:id="rId52"/>
    <sheet name="&lt;DM&gt;Reason" sheetId="51" state="visible" r:id="rId53"/>
    <sheet name="&lt;GT&gt;ShiftLogbookEntrySeverity" sheetId="52" state="hidden" r:id="rId54"/>
    <sheet name="&lt;DM&gt;AreaSupplyArea" sheetId="53" state="hidden" r:id="rId55"/>
    <sheet name="&lt;DM&gt;AreaTransferRequirementType" sheetId="54" state="hidden" r:id="rId56"/>
    <sheet name="&lt;DM&gt;Employee" sheetId="55" state="hidden" r:id="rId57"/>
    <sheet name="&lt;DM&gt;EmployeeDelegate" sheetId="56" state="hidden" r:id="rId58"/>
    <sheet name="&lt;DM&gt;EmployeeQualification" sheetId="57" state="hidden" r:id="rId59"/>
    <sheet name="&lt;DM&gt;EmployeeCertification" sheetId="58" state="hidden" r:id="rId60"/>
    <sheet name="&lt;DM&gt;SamplingPlan" sheetId="59" state="hidden" r:id="rId61"/>
    <sheet name="SPContextInformation" sheetId="60" state="hidden" r:id="rId62"/>
    <sheet name="&lt;DM&gt;SamplingPattern" sheetId="61" state="hidden" r:id="rId63"/>
    <sheet name="&lt;DM&gt;BusinessPartner" sheetId="62" state="hidden" r:id="rId64"/>
    <sheet name="&lt;DM&gt;ReasonRepairAction" sheetId="63" state="visible" r:id="rId65"/>
    <sheet name="&lt;GT&gt;AQLAcceptanceQualityLimit" sheetId="64" state="hidden" r:id="rId66"/>
    <sheet name="&lt;GT&gt;AQLSamplingCode" sheetId="65" state="hidden" r:id="rId67"/>
    <sheet name="&lt;GT&gt;InspectionSeverity" sheetId="66" state="hidden" r:id="rId68"/>
    <sheet name="&lt;DM&gt;Step" sheetId="67" state="visible" r:id="rId69"/>
    <sheet name="StepReason" sheetId="68" state="hidden" r:id="rId70"/>
    <sheet name="StepSamplingPlan" sheetId="69" state="hidden" r:id="rId71"/>
    <sheet name="StepLogicalName" sheetId="70" state="visible" r:id="rId72"/>
    <sheet name="StepContextInformation" sheetId="71" state="hidden" r:id="rId73"/>
    <sheet name="StepSwitchingRule" sheetId="72" state="hidden" r:id="rId74"/>
    <sheet name="StepInspectionSeverityInstance" sheetId="73" state="hidden" r:id="rId75"/>
    <sheet name="&lt;DM&gt;ScheduleFeedStep" sheetId="74" state="hidden" r:id="rId76"/>
    <sheet name="&lt;DM&gt;SamplingPlanInstance" sheetId="75" state="hidden" r:id="rId77"/>
    <sheet name="&lt;DM&gt;StepReason" sheetId="76" state="visible" r:id="rId78"/>
    <sheet name="FlowLogicalName" sheetId="77" state="hidden" r:id="rId79"/>
    <sheet name="&lt;DM&gt;Parameter" sheetId="78" state="visible" r:id="rId80"/>
    <sheet name="&lt;DM&gt;ProductGroup" sheetId="79" state="visible" r:id="rId81"/>
    <sheet name="ProductGroupParameters" sheetId="80" state="hidden" r:id="rId82"/>
    <sheet name="&lt;GT&gt;MoistureSensitivityLevel" sheetId="81" state="hidden" r:id="rId83"/>
    <sheet name="&lt;DM&gt;Product" sheetId="82" state="visible" r:id="rId84"/>
    <sheet name="ProductParameters" sheetId="83" state="hidden" r:id="rId85"/>
    <sheet name="ProductManufacturer" sheetId="84" state="hidden" r:id="rId86"/>
    <sheet name="&lt;DM&gt;ProductBinning" sheetId="85" state="hidden" r:id="rId87"/>
    <sheet name="&lt;DM&gt;Plan" sheetId="86" state="hidden" r:id="rId88"/>
    <sheet name="PlanItems" sheetId="87" state="hidden" r:id="rId89"/>
    <sheet name="PlanSteps" sheetId="88" state="hidden" r:id="rId90"/>
    <sheet name="PlanMaterialTypes" sheetId="89" state="hidden" r:id="rId91"/>
    <sheet name="PlanScenarios" sheetId="90" state="hidden" r:id="rId92"/>
    <sheet name="&lt;DM&gt;SetupMatrix" sheetId="91" state="hidden" r:id="rId93"/>
    <sheet name="SetupMatrixTransitions" sheetId="92" state="hidden" r:id="rId94"/>
    <sheet name="&lt;ST&gt;ResourceRunningMode" sheetId="93" state="hidden" r:id="rId95"/>
    <sheet name="StorageBin" sheetId="94" state="hidden" r:id="rId96"/>
    <sheet name="ResourceInventory" sheetId="95" state="hidden" r:id="rId97"/>
    <sheet name="&lt;DM&gt;Flow" sheetId="96" state="visible" r:id="rId98"/>
    <sheet name="FlowStructures" sheetId="97" state="visible" r:id="rId99"/>
    <sheet name="ResourceMeasurementCapability" sheetId="98" state="visible" r:id="rId100"/>
    <sheet name="ResourceInstruments" sheetId="99" state="visible" r:id="rId101"/>
    <sheet name="ResourceLocation" sheetId="100" state="hidden" r:id="rId102"/>
    <sheet name="&lt;DM&gt;ResourceDurable" sheetId="101" state="visible" r:id="rId103"/>
    <sheet name="&lt;DM&gt;Resource" sheetId="102" state="visible" r:id="rId104"/>
    <sheet name="&lt;DM&gt;SubResource" sheetId="103" state="hidden" r:id="rId105"/>
    <sheet name="&lt;DM&gt;ResourceService" sheetId="104" state="hidden" r:id="rId106"/>
    <sheet name="&lt;LOOKUP&gt;RPersonnelRequirements" sheetId="105" state="hidden" r:id="rId107"/>
    <sheet name="&lt;GT&gt;CalendarDayType" sheetId="106" state="hidden" r:id="rId108"/>
    <sheet name="&lt;DM&gt;ShiftPlan" sheetId="107" state="hidden" r:id="rId109"/>
    <sheet name="ShiftPlanWorkgroups" sheetId="108" state="hidden" r:id="rId110"/>
    <sheet name="&lt;DM&gt;WorkgroupStep" sheetId="109" state="hidden" r:id="rId111"/>
    <sheet name="&lt;UP&gt;EmployeeShiftDetails" sheetId="110" state="hidden" r:id="rId112"/>
    <sheet name="&lt;DM&gt;KPI" sheetId="111" state="hidden" r:id="rId113"/>
    <sheet name="&lt;DM&gt;KPITimeFrame" sheetId="112" state="hidden" r:id="rId114"/>
    <sheet name="&lt;DM&gt;DataCollection" sheetId="113" state="visible" r:id="rId115"/>
    <sheet name="DataCollectionParameters" sheetId="114" state="visible" r:id="rId116"/>
    <sheet name="&lt;DM&gt;DataCollectionLimitSet" sheetId="115" state="visible" r:id="rId117"/>
    <sheet name="DataCollectionSampleLimits" sheetId="116" state="hidden" r:id="rId118"/>
    <sheet name="&lt;GT&gt;ChartRuleScope" sheetId="117" state="hidden" r:id="rId119"/>
    <sheet name="&lt;DM&gt;Chart" sheetId="118" state="hidden" r:id="rId120"/>
    <sheet name="&lt;DM&gt;LogicalChart" sheetId="119" state="hidden" r:id="rId121"/>
    <sheet name="&lt;DM&gt;BOM" sheetId="120" state="visible" r:id="rId122"/>
    <sheet name="BOMProducts" sheetId="121" state="visible" r:id="rId123"/>
    <sheet name="&lt;ST&gt;ServiceContext" sheetId="122" state="visible" r:id="rId124"/>
    <sheet name="&lt;ST&gt;BOMContext" sheetId="123" state="visible" r:id="rId125"/>
    <sheet name="&lt;DM&gt;Checklist" sheetId="124" state="visible" r:id="rId126"/>
    <sheet name="ChecklistItems" sheetId="125" state="visible" r:id="rId127"/>
    <sheet name="ChecklistItemParameters" sheetId="126" state="hidden" r:id="rId128"/>
    <sheet name="ChecklistItemDataColParameters" sheetId="127" state="hidden" r:id="rId129"/>
    <sheet name="ChecklistItemSignatures" sheetId="128" state="hidden" r:id="rId130"/>
    <sheet name="&lt;DM&gt;Protocol" sheetId="129" state="hidden" r:id="rId131"/>
    <sheet name="ProtocolStates" sheetId="130" state="hidden" r:id="rId132"/>
    <sheet name="&lt;DM&gt;InspectionPlan" sheetId="131" state="hidden" r:id="rId133"/>
    <sheet name="InspectionPlanSteps" sheetId="132" state="hidden" r:id="rId134"/>
    <sheet name="InspectionPlanConfiguration" sheetId="133" state="hidden" r:id="rId135"/>
    <sheet name="InspectionPlanConfigurationStep" sheetId="134" state="hidden" r:id="rId136"/>
    <sheet name="&lt;DM&gt;Recipe" sheetId="135" state="visible" r:id="rId137"/>
    <sheet name="RecipeParameters" sheetId="136" state="visible" r:id="rId138"/>
    <sheet name="SubRecipes" sheetId="137" state="visible" r:id="rId139"/>
    <sheet name="SubRecipeParameters" sheetId="138" state="hidden" r:id="rId140"/>
    <sheet name="&lt;DM&gt;MaintenancePlan" sheetId="139" state="hidden" r:id="rId141"/>
    <sheet name="MaintenancePlanActivities" sheetId="140" state="hidden" r:id="rId142"/>
    <sheet name="MaintenancePlanActivityCharts" sheetId="141" state="hidden" r:id="rId143"/>
    <sheet name="MaintenanceActivityDocument" sheetId="142" state="hidden" r:id="rId144"/>
    <sheet name="IncludedActivities" sheetId="143" state="hidden" r:id="rId145"/>
    <sheet name="&lt;LOOKUP&gt;MaintActPersReq" sheetId="144" state="hidden" r:id="rId146"/>
    <sheet name="&lt;DM&gt;MaintenancePlanInstance" sheetId="145" state="hidden" r:id="rId147"/>
    <sheet name="MaintenancePlanInstanceActivity" sheetId="146" state="hidden" r:id="rId148"/>
    <sheet name="&lt;UP&gt;MaintenancePlanCounters" sheetId="147" state="hidden" r:id="rId149"/>
    <sheet name="&lt;GT&gt;GenericTable" sheetId="148" state="hidden" r:id="rId150"/>
    <sheet name="GenericTableProperties" sheetId="149" state="hidden" r:id="rId151"/>
    <sheet name="&lt;GT&gt;GUIElementDefaultValue" sheetId="150" state="hidden" r:id="rId152"/>
    <sheet name="&lt;GT&gt;MaterialFormRelation" sheetId="151" state="hidden" r:id="rId153"/>
    <sheet name="&lt;GT&gt;MaterialTransferUrgency" sheetId="152" state="hidden" r:id="rId154"/>
    <sheet name="&lt;GT&gt;TransferOrderPriority" sheetId="153" state="hidden" r:id="rId155"/>
    <sheet name="&lt;GT&gt;TransferRequirementPriority" sheetId="154" state="hidden" r:id="rId156"/>
    <sheet name="&lt;LOOKUP&gt;ProdUnitConFac" sheetId="155" state="hidden" r:id="rId157"/>
    <sheet name="&lt;GT&gt;UnitConversionFactors" sheetId="156" state="hidden" r:id="rId158"/>
    <sheet name="&lt;ST&gt;SmartTable" sheetId="157" state="hidden" r:id="rId159"/>
    <sheet name="SmartTableProperties" sheetId="158" state="hidden" r:id="rId160"/>
    <sheet name="SmartTablePrecedenceKeys" sheetId="159" state="hidden" r:id="rId161"/>
    <sheet name="&lt;GT&gt;ContextResolution" sheetId="160" state="hidden" r:id="rId162"/>
    <sheet name="&lt;ST&gt;ApplicationSettingsContext" sheetId="161" state="hidden" r:id="rId163"/>
    <sheet name="&lt;LOOKUP&gt;AreaPDContext" sheetId="162" state="hidden" r:id="rId164"/>
    <sheet name="&lt;ST&gt;ChangeSetApprovalContext" sheetId="163" state="hidden" r:id="rId165"/>
    <sheet name="&lt;LOOKUP&gt;IntHandlerRes" sheetId="164" state="hidden" r:id="rId166"/>
    <sheet name="&lt;LOOKUP&gt;LayoutPContext" sheetId="165" state="hidden" r:id="rId167"/>
    <sheet name="&lt;ST&gt;MapDefinitionContext" sheetId="166" state="hidden" r:id="rId168"/>
    <sheet name="&lt;LOOKUP&gt;MaterialCLContext" sheetId="167" state="hidden" r:id="rId169"/>
    <sheet name="&lt;LOOKUP&gt;MaterialDCContext" sheetId="168" state="visible" r:id="rId170"/>
    <sheet name="&lt;ST&gt;MaterialDocumentContext" sheetId="169" state="hidden" r:id="rId171"/>
    <sheet name="&lt;ST&gt;MaterialDurablesContext" sheetId="170" state="visible" r:id="rId172"/>
    <sheet name="&lt;LOOKUP&gt;MaterialPDContext" sheetId="171" state="hidden" r:id="rId173"/>
    <sheet name="&lt;ST&gt;NameGeneratorContext" sheetId="172" state="visible" r:id="rId174"/>
    <sheet name="&lt;ST&gt;PrinterTypePrintersContext" sheetId="173" state="hidden" r:id="rId175"/>
    <sheet name="&lt;LOOKUP&gt;RPOverrideContext" sheetId="174" state="hidden" r:id="rId176"/>
    <sheet name="&lt;ST&gt;ResourceCapacity" sheetId="175" state="hidden" r:id="rId177"/>
    <sheet name="&lt;ST&gt;ResourceChartContext" sheetId="176" state="hidden" r:id="rId178"/>
    <sheet name="&lt;LOOKUP&gt;ResourceCLContext" sheetId="177" state="hidden" r:id="rId179"/>
    <sheet name="&lt;LOOKUP&gt;ResourceDCContext" sheetId="178" state="hidden" r:id="rId180"/>
    <sheet name="&lt;ST&gt;ResourceDocumentContext" sheetId="179" state="hidden" r:id="rId181"/>
    <sheet name="&lt;ST&gt;ResourceIdealCycleTime" sheetId="180" state="hidden" r:id="rId182"/>
    <sheet name="&lt;ST&gt;ResourceProcessTime" sheetId="181" state="hidden" r:id="rId183"/>
    <sheet name="&lt;LOOKUP&gt;ResourceReplCont" sheetId="182" state="hidden" r:id="rId184"/>
    <sheet name="&lt;LOOKUP&gt;SchedTransfMatSize" sheetId="183" state="hidden" r:id="rId185"/>
    <sheet name="&lt;LOOKUP&gt;StepCRContext" sheetId="184" state="hidden" r:id="rId186"/>
    <sheet name="&lt;ST&gt;StepChartContext" sheetId="185" state="hidden" r:id="rId187"/>
    <sheet name="&lt;ST&gt;StepLineFlowContext" sheetId="186" state="hidden" r:id="rId188"/>
    <sheet name="&lt;LOOKUP&gt;StepPRODYCTContext" sheetId="187" state="hidden" r:id="rId189"/>
    <sheet name="&lt;ST&gt;StepSamplingPatternContext" sheetId="188" state="hidden" r:id="rId190"/>
    <sheet name="&lt;ST&gt;StepInspectionPlanContext" sheetId="189" state="hidden" r:id="rId191"/>
    <sheet name="&lt;ST&gt;StepSplitTrackOutContext" sheetId="190" state="hidden" r:id="rId192"/>
    <sheet name="&lt;ST&gt;TimeConstraintsContext" sheetId="191" state="visible" r:id="rId193"/>
    <sheet name="&lt;ST&gt;UIPageContext" sheetId="192" state="hidden" r:id="rId194"/>
    <sheet name="&lt;LOOKUP&gt;FacAutContOveride" sheetId="193" state="hidden" r:id="rId195"/>
    <sheet name="&lt;LOOKUP&gt;CustomIntegrationEn" sheetId="194" state="visible" r:id="rId196"/>
    <sheet name="&lt;LOOKUP&gt;CustomProductTypeBO" sheetId="195" state="visible" r:id="rId197"/>
    <sheet name="&lt;LOOKUP&gt;CustomMaxRWCount" sheetId="196" state="visible" r:id="rId198"/>
    <sheet name="&lt;DM&gt;ProductionOrder" sheetId="197" state="visible" r:id="rId199"/>
    <sheet name="ProductionOrderStep" sheetId="198" state="hidden" r:id="rId200"/>
    <sheet name="&lt;GT&gt;ContainerTypeRelation" sheetId="199" state="visible" r:id="rId201"/>
    <sheet name="&lt;GT&gt;ContainerResourceRelation" sheetId="200" state="visible" r:id="rId202"/>
    <sheet name="&lt;DM&gt;Container" sheetId="201" state="visible" r:id="rId203"/>
    <sheet name="&lt;UP&gt;StepFutureActions" sheetId="202" state="hidden" r:id="rId204"/>
    <sheet name="&lt;DM&gt;FutureAction" sheetId="203" state="hidden" r:id="rId205"/>
    <sheet name="&lt;DM&gt;SendAheadRun" sheetId="204" state="hidden" r:id="rId206"/>
    <sheet name="SendAheadRunMaterials" sheetId="205" state="hidden" r:id="rId207"/>
    <sheet name="&lt;DM&gt;ExperimentDefinition" sheetId="206" state="hidden" r:id="rId208"/>
    <sheet name="ExperimentDefinitionSteps" sheetId="207" state="hidden" r:id="rId209"/>
    <sheet name="&lt;GT&gt;NotificationSeverity" sheetId="208" state="hidden" r:id="rId210"/>
    <sheet name="&lt;DM&gt;Notification" sheetId="209" state="hidden" r:id="rId211"/>
    <sheet name="&lt;DM&gt;MapDefinition" sheetId="210" state="hidden" r:id="rId212"/>
    <sheet name="MapDefinitionLayers" sheetId="211" state="hidden" r:id="rId213"/>
    <sheet name="&lt;DM&gt;Map" sheetId="212" state="hidden" r:id="rId214"/>
    <sheet name="&lt;DM&gt;Material" sheetId="213" state="visible" r:id="rId215"/>
  </sheets>
  <externalReferences>
    <externalReference r:id="rId216"/>
  </externalReferences>
  <definedNames>
    <definedName function="false" hidden="true" localSheetId="95" name="_xlnm._FilterDatabase" vbProcedure="false">'&lt;DM&gt;Flow'!$A$1:$P$223</definedName>
    <definedName function="false" hidden="true" localSheetId="77" name="_xlnm._FilterDatabase" vbProcedure="false">'&lt;DM&gt;Parameter'!$A$1:$M$64</definedName>
    <definedName function="false" hidden="true" localSheetId="81" name="_xlnm._FilterDatabase" vbProcedure="false">'&lt;DM&gt;Product'!$A$1:$CW$6</definedName>
    <definedName function="false" hidden="true" localSheetId="50" name="_xlnm._FilterDatabase" vbProcedure="false">'&lt;DM&gt;Reason'!$A$1:$J$147</definedName>
    <definedName function="false" hidden="true" localSheetId="101" name="_xlnm._FilterDatabase" vbProcedure="false">'&lt;DM&gt;Resource'!$A$1:$DU$167</definedName>
    <definedName function="false" hidden="true" localSheetId="103" name="_xlnm._FilterDatabase" vbProcedure="false">'&lt;DM&gt;ResourceService'!$A$1:$K$216</definedName>
    <definedName function="false" hidden="true" localSheetId="48" name="_xlnm._FilterDatabase" vbProcedure="false">'&lt;DM&gt;Service'!$A$1:$J$100</definedName>
    <definedName function="false" hidden="true" localSheetId="66" name="_xlnm._FilterDatabase" vbProcedure="false">'&lt;DM&gt;Step'!$A$1:$CD$160</definedName>
    <definedName function="false" hidden="true" localSheetId="75" name="_xlnm._FilterDatabase" vbProcedure="false">'&lt;DM&gt;StepReason'!$A$1:$I$147</definedName>
    <definedName function="false" hidden="true" localSheetId="193" name="_xlnm._FilterDatabase" vbProcedure="false">'&lt;LOOKUP&gt;CustomIntegrationEn'!$A$1:$E$1</definedName>
    <definedName function="false" hidden="true" localSheetId="194" name="_xlnm._FilterDatabase" vbProcedure="false">'&lt;LOOKUP&gt;CustomProductTypeBO'!$A$1</definedName>
    <definedName function="false" hidden="true" localSheetId="167" name="_xlnm._FilterDatabase" vbProcedure="false">'&lt;LOOKUP&gt;MaterialDCContext'!$A$1:$R$11</definedName>
    <definedName function="false" hidden="true" localSheetId="8" name="_xlnm._FilterDatabase" vbProcedure="false">'&lt;SM&gt;Features'!$A$1:$I$1</definedName>
    <definedName function="false" hidden="true" localSheetId="12" name="_xlnm._FilterDatabase" vbProcedure="false">'&lt;SM&gt;LookupTableValues'!$A$1:$E$455</definedName>
    <definedName function="false" hidden="true" localSheetId="121" name="_xlnm._FilterDatabase" vbProcedure="false">'&lt;ST&gt;ServiceContext'!$A$1:$I$151</definedName>
    <definedName function="false" hidden="true" localSheetId="113" name="_xlnm._FilterDatabase" vbProcedure="false">DataCollectionParameters!$A$1:$BP$48</definedName>
    <definedName function="false" hidden="true" localSheetId="5" name="_xlnm._FilterDatabase" vbProcedure="false">Enums!$C$26:$C$30</definedName>
    <definedName function="false" hidden="true" localSheetId="96" name="_xlnm._FilterDatabase" vbProcedure="false">FlowStructures!$A$1:$L$458</definedName>
    <definedName function="false" hidden="true" localSheetId="135" name="_xlnm._FilterDatabase" vbProcedure="false">RecipeParameters!$A$1:$I$62</definedName>
    <definedName function="false" hidden="false" name="ChartTypes" vbProcedure="false">[1]helplookups!#ref!</definedName>
    <definedName function="false" hidden="false" name="CheckListExecutionMode" vbProcedure="false">[1]HelpLookups!$A$121:$A$122</definedName>
    <definedName function="false" hidden="false" name="CheckListScope" vbProcedure="false">[1]HelpLookups!$A$29:$A$33</definedName>
    <definedName function="false" hidden="false" name="CheckListType" vbProcedure="false">[1]HelpLookups!$A$2:$A$17</definedName>
    <definedName function="false" hidden="false" name="DataCollectionTypeList" vbProcedure="false">[1]HelpLookups!$A$107:$A$109</definedName>
    <definedName function="false" hidden="false" name="DocTypeValues" vbProcedure="false">[1]HelpLookups!$A$37:$A$58</definedName>
    <definedName function="false" hidden="false" name="DocumentOperationTypes" vbProcedure="false">[1]HelpLookups!$A$126:$A$130</definedName>
    <definedName function="false" hidden="false" name="MaterialCheckListOperations" vbProcedure="false">[1]HelpLookups!$A$134:$A$138</definedName>
    <definedName function="false" hidden="false" localSheetId="84" name="ChartTypes" vbProcedure="false">[1]helplookups!#ref!</definedName>
    <definedName function="false" hidden="false" localSheetId="84" name="CheckListExecutionMode" vbProcedure="false">[1]HelpLookups!$A$121:$A$122</definedName>
    <definedName function="false" hidden="false" localSheetId="84" name="CheckListScope" vbProcedure="false">[1]HelpLookups!$A$29:$A$33</definedName>
    <definedName function="false" hidden="false" localSheetId="84" name="CheckListType" vbProcedure="false">[1]HelpLookups!$A$2:$A$17</definedName>
    <definedName function="false" hidden="false" localSheetId="84" name="DataCollectionTypeList" vbProcedure="false">[1]HelpLookups!$A$107:$A$109</definedName>
    <definedName function="false" hidden="false" localSheetId="84" name="DocTypeValues" vbProcedure="false">[1]HelpLookups!$A$37:$A$58</definedName>
    <definedName function="false" hidden="false" localSheetId="84" name="DocumentOperationTypes" vbProcedure="false">[1]HelpLookups!$A$126:$A$130</definedName>
    <definedName function="false" hidden="false" localSheetId="84" name="MaterialCheckListOperations" vbProcedure="false">[1]HelpLookups!$A$134:$A$138</definedName>
    <definedName function="false" hidden="false" localSheetId="144" name="ChartTypes" vbProcedure="false">[1]helplookups!#ref!</definedName>
    <definedName function="false" hidden="false" localSheetId="145" name="ChartTypes" vbProcedure="false">[1]helplookups!#ref!</definedName>
    <definedName function="false" hidden="false" localSheetId="146" name="ChartTypes" vbProcedure="false">[1]helplookups!#ref!</definedName>
    <definedName function="false" hidden="false" localSheetId="168" name="ChartTypes" vbProcedure="false">[1]helplookups!#ref!</definedName>
    <definedName function="false" hidden="false" localSheetId="168" name="CheckListExecutionMode" vbProcedure="false">[1]HelpLookups!$A$121:$A$122</definedName>
    <definedName function="false" hidden="false" localSheetId="168" name="CheckListScope" vbProcedure="false">[1]HelpLookups!$A$29:$A$33</definedName>
    <definedName function="false" hidden="false" localSheetId="168" name="CheckListType" vbProcedure="false">[1]HelpLookups!$A$2:$A$17</definedName>
    <definedName function="false" hidden="false" localSheetId="168" name="DataCollectionTypeList" vbProcedure="false">[1]HelpLookups!$A$107:$A$109</definedName>
    <definedName function="false" hidden="false" localSheetId="168" name="DocTypeValues" vbProcedure="false">[1]HelpLookups!$A$37:$A$58</definedName>
    <definedName function="false" hidden="false" localSheetId="168" name="DocumentOperationTypes" vbProcedure="false">[1]HelpLookups!$A$126:$A$130</definedName>
    <definedName function="false" hidden="false" localSheetId="168" name="MaterialCheckListOperations" vbProcedure="false">[1]HelpLookups!$A$134:$A$138</definedName>
    <definedName function="false" hidden="false" localSheetId="209" name="ChartTypes" vbProcedure="false">[1]helplookups!#ref!</definedName>
    <definedName function="false" hidden="false" localSheetId="209" name="CheckListExecutionMode" vbProcedure="false">[1]HelpLookups!$A$121:$A$122</definedName>
    <definedName function="false" hidden="false" localSheetId="209" name="CheckListScope" vbProcedure="false">[1]HelpLookups!$A$29:$A$33</definedName>
    <definedName function="false" hidden="false" localSheetId="209" name="CheckListType" vbProcedure="false">[1]HelpLookups!$A$2:$A$17</definedName>
    <definedName function="false" hidden="false" localSheetId="209" name="DataCollectionTypeList" vbProcedure="false">[1]HelpLookups!$A$107:$A$109</definedName>
    <definedName function="false" hidden="false" localSheetId="209" name="DocTypeValues" vbProcedure="false">[1]HelpLookups!$A$37:$A$58</definedName>
    <definedName function="false" hidden="false" localSheetId="209" name="DocumentOperationTypes" vbProcedure="false">[1]HelpLookups!$A$126:$A$130</definedName>
    <definedName function="false" hidden="false" localSheetId="209" name="MaterialCheckListOperations" vbProcedure="false">[1]HelpLookups!$A$134:$A$138</definedName>
    <definedName function="false" hidden="false" localSheetId="210" name="ChartTypes" vbProcedure="false">[1]helplookups!#ref!</definedName>
    <definedName function="false" hidden="false" localSheetId="210" name="CheckListExecutionMode" vbProcedure="false">[1]HelpLookups!$A$121:$A$122</definedName>
    <definedName function="false" hidden="false" localSheetId="210" name="CheckListScope" vbProcedure="false">[1]HelpLookups!$A$29:$A$33</definedName>
    <definedName function="false" hidden="false" localSheetId="210" name="CheckListType" vbProcedure="false">[1]HelpLookups!$A$2:$A$17</definedName>
    <definedName function="false" hidden="false" localSheetId="210" name="DataCollectionTypeList" vbProcedure="false">[1]HelpLookups!$A$107:$A$109</definedName>
    <definedName function="false" hidden="false" localSheetId="210" name="DocTypeValues" vbProcedure="false">[1]HelpLookups!$A$37:$A$58</definedName>
    <definedName function="false" hidden="false" localSheetId="210" name="DocumentOperationTypes" vbProcedure="false">[1]HelpLookups!$A$126:$A$130</definedName>
    <definedName function="false" hidden="false" localSheetId="210" name="MaterialCheckListOperations" vbProcedure="false">[1]HelpLookups!$A$134:$A$138</definedName>
    <definedName function="false" hidden="false" localSheetId="211" name="ChartTypes" vbProcedure="false">[1]helplookups!#ref!</definedName>
    <definedName function="false" hidden="false" localSheetId="211" name="CheckListExecutionMode" vbProcedure="false">[1]HelpLookups!$A$121:$A$122</definedName>
    <definedName function="false" hidden="false" localSheetId="211" name="CheckListScope" vbProcedure="false">[1]HelpLookups!$A$29:$A$33</definedName>
    <definedName function="false" hidden="false" localSheetId="211" name="CheckListType" vbProcedure="false">[1]HelpLookups!$A$2:$A$17</definedName>
    <definedName function="false" hidden="false" localSheetId="211" name="DataCollectionTypeList" vbProcedure="false">[1]HelpLookups!$A$107:$A$109</definedName>
    <definedName function="false" hidden="false" localSheetId="211" name="DocTypeValues" vbProcedure="false">[1]HelpLookups!$A$37:$A$58</definedName>
    <definedName function="false" hidden="false" localSheetId="211" name="DocumentOperationTypes" vbProcedure="false">[1]HelpLookups!$A$126:$A$130</definedName>
    <definedName function="false" hidden="false" localSheetId="211" name="MaterialCheckListOperations" vbProcedure="false">[1]HelpLookups!$A$134:$A$138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Hélder Antunes</author>
  </authors>
  <commentList>
    <comment ref="A1" authorId="0">
      <text>
        <r>
          <rPr>
            <sz val="10"/>
            <rFont val="Arial"/>
            <family val="2"/>
          </rPr>
          <t xml:space="preserve">Revision Format
This config defines the way of append a revision to a name.
The default value is '[&lt;revision&gt;]', which means that a value with name and revision is expressed like this example: Belgas [A].
In order to change, for instance, to Belgas #A#, the config should be define as '#&lt;revision&gt;#'.
Note that &lt;revision&gt; is mandatory in the config, and it must exist at least one non-empty character in the left/right of &lt;revision&gt;.</t>
        </r>
      </text>
      <mc:AlternateContent>
        <mc:Choice Requires="v2">
          <commentPr autoFill="true" autoScale="false" colHidden="false" locked="false" rowHidden="false" textHAlign="justify" textVAlign="top">
            <anchor moveWithCells="false" sizeWithCells="false">
              <xdr:from>
                <xdr:col>0</xdr:col>
                <xdr:colOff>36</xdr:colOff>
                <xdr:row>6</xdr:row>
                <xdr:rowOff>12</xdr:rowOff>
              </xdr:from>
              <xdr:to>
                <xdr:col>4</xdr:col>
                <xdr:colOff>24</xdr:colOff>
                <xdr:row>17</xdr:row>
                <xdr:rowOff>8</xdr:rowOff>
              </xdr:to>
            </anchor>
          </commentPr>
        </mc:Choice>
        <mc:Fallback/>
      </mc:AlternateContent>
    </comment>
    <comment ref="B1" authorId="0">
      <text>
        <r>
          <rPr>
            <sz val="10"/>
            <rFont val="Arial"/>
            <family val="2"/>
          </rPr>
          <t xml:space="preserve">Use Revisions
This config defines if the excel uses or not uses revisions.
The three possible values are: True, False and Optional.
If the value is true, the loaders will always try to parse the revision in a cell with a value of a versioned entity. If the revision is not found, it will throw an error.
If it is false, the loaders won't try to parse any revision. For instance, if a cell declares "Belgas [A]", the MES will assume that the name of the object is "Belgas [A]" and its revision is undefined.
If it is optional (the default value), the loaders will try to parse the revisions, but they won't throw an error if the revision is not found.</t>
        </r>
      </text>
      <mc:AlternateContent>
        <mc:Choice Requires="v2">
          <commentPr autoFill="true" autoScale="false" colHidden="false" locked="false" rowHidden="false" textHAlign="justify" textVAlign="top">
            <anchor moveWithCells="false" sizeWithCells="false">
              <xdr:from>
                <xdr:col>1</xdr:col>
                <xdr:colOff>20</xdr:colOff>
                <xdr:row>0</xdr:row>
                <xdr:rowOff>0</xdr:rowOff>
              </xdr:from>
              <xdr:to>
                <xdr:col>5</xdr:col>
                <xdr:colOff>69</xdr:colOff>
                <xdr:row>12</xdr:row>
                <xdr:rowOff>16</xdr:rowOff>
              </xdr:to>
            </anchor>
          </commentPr>
        </mc:Choice>
        <mc:Fallback/>
      </mc:AlternateContent>
    </comment>
    <comment ref="C1" authorId="0">
      <text>
        <r>
          <rPr>
            <sz val="10"/>
            <rFont val="Arial"/>
            <family val="2"/>
          </rPr>
          <t xml:space="preserve">Default Create
This config defines the default operation when creating an object which already exists.
The possible values are: Create Version (default), and Create Revision.
For instance, if it is defined a product to create with the name "Belgas" and there are already products with that name, it will be created a new version or a new revision dependant on this config.
Note: If the text defined is "Belgas [B]", and a product Belgas with revision B exists, it will create a new version for that revision. In this case, the create operation is independant of this config.</t>
        </r>
      </text>
      <mc:AlternateContent>
        <mc:Choice Requires="v2">
          <commentPr autoFill="true" autoScale="false" colHidden="false" locked="false" rowHidden="false" textHAlign="justify" textVAlign="top">
            <anchor moveWithCells="false" sizeWithCells="false">
              <xdr:from>
                <xdr:col>1</xdr:col>
                <xdr:colOff>84</xdr:colOff>
                <xdr:row>0</xdr:row>
                <xdr:rowOff>0</xdr:rowOff>
              </xdr:from>
              <xdr:to>
                <xdr:col>7</xdr:col>
                <xdr:colOff>32</xdr:colOff>
                <xdr:row>11</xdr:row>
                <xdr:rowOff>8</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G36" authorId="0">
      <text>
        <r>
          <rPr>
            <sz val="10"/>
            <rFont val="Arial"/>
            <family val="2"/>
          </rPr>
          <t xml:space="preserve">ou MinimizeNumberOfLateMaterials
</t>
        </r>
      </text>
      <mc:AlternateContent>
        <mc:Choice Requires="v2">
          <commentPr autoFill="true" autoScale="false" colHidden="false" locked="false" rowHidden="false" textHAlign="justify" textVAlign="top">
            <anchor moveWithCells="false" sizeWithCells="false">
              <xdr:from>
                <xdr:col>7</xdr:col>
                <xdr:colOff>16</xdr:colOff>
                <xdr:row>66</xdr:row>
                <xdr:rowOff>11</xdr:rowOff>
              </xdr:from>
              <xdr:to>
                <xdr:col>8</xdr:col>
                <xdr:colOff>96</xdr:colOff>
                <xdr:row>70</xdr:row>
                <xdr:rowOff>11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or-martins</author>
  </authors>
  <commentList>
    <comment ref="A1" authorId="1">
      <text>
        <r>
          <rPr>
            <sz val="10"/>
            <rFont val="Arial"/>
            <family val="2"/>
          </rPr>
          <t xml:space="preserve">or-martins:
</t>
        </r>
        <r>
          <rPr>
            <sz val="9"/>
            <color rgb="FF000000"/>
            <rFont val="Tahoma"/>
            <family val="2"/>
            <charset val="1"/>
          </rPr>
          <t xml:space="preserve">Example:
/a/c/d/f/</t>
        </r>
      </text>
      <mc:AlternateContent>
        <mc:Choice Requires="v2">
          <commentPr autoFill="true" autoScale="false" colHidden="false" locked="false" rowHidden="false" textHAlign="justify" textVAlign="top">
            <anchor moveWithCells="false" sizeWithCells="false">
              <xdr:from>
                <xdr:col>0</xdr:col>
                <xdr:colOff>44</xdr:colOff>
                <xdr:row>13</xdr:row>
                <xdr:rowOff>4</xdr:rowOff>
              </xdr:from>
              <xdr:to>
                <xdr:col>2</xdr:col>
                <xdr:colOff>24</xdr:colOff>
                <xdr:row>16</xdr:row>
                <xdr:rowOff>4</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The name of the configuration
</t>
        </r>
        <r>
          <rPr>
            <u val="single"/>
            <sz val="9"/>
            <color rgb="FF000000"/>
            <rFont val="Tahoma"/>
            <family val="2"/>
            <charset val="1"/>
          </rPr>
          <t xml:space="preserve">Example:</t>
        </r>
        <r>
          <rPr>
            <sz val="9"/>
            <color rgb="FF000000"/>
            <rFont val="Tahoma"/>
            <family val="2"/>
            <charset val="1"/>
          </rPr>
          <t xml:space="preserve"> PreSelectSampleId</t>
        </r>
      </text>
      <mc:AlternateContent>
        <mc:Choice Requires="v2">
          <commentPr autoFill="true" autoScale="false" colHidden="false" locked="false" rowHidden="false" textHAlign="justify" textVAlign="top">
            <anchor moveWithCells="false" sizeWithCells="false">
              <xdr:from>
                <xdr:col>0</xdr:col>
                <xdr:colOff>156</xdr:colOff>
                <xdr:row>2</xdr:row>
                <xdr:rowOff>0</xdr:rowOff>
              </xdr:from>
              <xdr:to>
                <xdr:col>1</xdr:col>
                <xdr:colOff>-53</xdr:colOff>
                <xdr:row>5</xdr:row>
                <xdr:rowOff>16</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0">
      <text>
        <r>
          <rPr>
            <sz val="10"/>
            <rFont val="Arial"/>
            <family val="2"/>
          </rPr>
          <t xml:space="preserve">José Romeu Gonçalves:
</t>
        </r>
        <r>
          <rPr>
            <sz val="9"/>
            <color rgb="FF000000"/>
            <rFont val="Tahoma"/>
            <family val="2"/>
            <charset val="1"/>
          </rPr>
          <t xml:space="preserve">In seconds.
Applies by default for every user which has this role defined as the primary role. However this value is overridden by the user level auto-lock timeout value
</t>
        </r>
      </text>
      <mc:AlternateContent>
        <mc:Choice Requires="v2">
          <commentPr autoFill="true" autoScale="false" colHidden="false" locked="false" rowHidden="false" textHAlign="justify" textVAlign="top">
            <anchor moveWithCells="false" sizeWithCells="false">
              <xdr:from>
                <xdr:col>0</xdr:col>
                <xdr:colOff>116</xdr:colOff>
                <xdr:row>1</xdr:row>
                <xdr:rowOff>16</xdr:rowOff>
              </xdr:from>
              <xdr:to>
                <xdr:col>1</xdr:col>
                <xdr:colOff>64</xdr:colOff>
                <xdr:row>7</xdr:row>
                <xdr:rowOff>16</xdr:rowOff>
              </xdr:to>
            </anchor>
          </commentPr>
        </mc:Choice>
        <mc:Fallback/>
      </mc:AlternateContent>
    </comment>
    <comment ref="G1" authorId="1">
      <text>
        <r>
          <rPr>
            <sz val="10"/>
            <rFont val="Arial"/>
            <family val="2"/>
          </rPr>
          <t xml:space="preserve">Syntax:
</t>
        </r>
        <r>
          <rPr>
            <sz val="9"/>
            <color rgb="FF000000"/>
            <rFont val="Tahoma"/>
            <family val="2"/>
            <charset val="1"/>
          </rPr>
          <t xml:space="preserve">
List of Role Names separated by ';'</t>
        </r>
      </text>
      <mc:AlternateContent>
        <mc:Choice Requires="v2">
          <commentPr autoFill="true" autoScale="false" colHidden="false" locked="false" rowHidden="false" textHAlign="justify" textVAlign="top">
            <anchor moveWithCells="false" sizeWithCells="false">
              <xdr:from>
                <xdr:col>4</xdr:col>
                <xdr:colOff>104</xdr:colOff>
                <xdr:row>3</xdr:row>
                <xdr:rowOff>0</xdr:rowOff>
              </xdr:from>
              <xdr:to>
                <xdr:col>6</xdr:col>
                <xdr:colOff>160</xdr:colOff>
                <xdr:row>5</xdr:row>
                <xdr:rowOff>8</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Luís Miguel Ponte</author>
  </authors>
  <commentList>
    <comment ref="E1" authorId="0">
      <text>
        <r>
          <rPr>
            <sz val="10"/>
            <rFont val="Arial"/>
            <family val="2"/>
          </rPr>
          <t xml:space="preserve">José Romeu Gonçalves:
</t>
        </r>
        <r>
          <rPr>
            <sz val="9"/>
            <color rgb="FF000000"/>
            <rFont val="Tahoma"/>
            <family val="2"/>
            <charset val="1"/>
          </rPr>
          <t xml:space="preserve">
"Yes" --&gt; Will force that the user has to sign with its password to complete the transaction
</t>
        </r>
        <r>
          <rPr>
            <b val="true"/>
            <sz val="9"/>
            <color rgb="FF000000"/>
            <rFont val="Tahoma"/>
            <family val="2"/>
            <charset val="1"/>
          </rPr>
          <t xml:space="preserve">WI: 56492</t>
        </r>
      </text>
      <mc:AlternateContent>
        <mc:Choice Requires="v2">
          <commentPr autoFill="true" autoScale="false" colHidden="false" locked="false" rowHidden="false" textHAlign="justify" textVAlign="top">
            <anchor moveWithCells="false" sizeWithCells="false">
              <xdr:from>
                <xdr:col>0</xdr:col>
                <xdr:colOff>328</xdr:colOff>
                <xdr:row>3</xdr:row>
                <xdr:rowOff>16</xdr:rowOff>
              </xdr:from>
              <xdr:to>
                <xdr:col>1</xdr:col>
                <xdr:colOff>180</xdr:colOff>
                <xdr:row>9</xdr:row>
                <xdr:rowOff>8</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"Yes" --&gt; the feature will need to have a comment when being created or updated.
</t>
        </r>
        <r>
          <rPr>
            <b val="true"/>
            <sz val="9"/>
            <color rgb="FF000000"/>
            <rFont val="Tahoma"/>
            <family val="2"/>
            <charset val="1"/>
          </rPr>
          <t xml:space="preserve">WI: 54713</t>
        </r>
      </text>
      <mc:AlternateContent>
        <mc:Choice Requires="v2">
          <commentPr autoFill="true" autoScale="false" colHidden="false" locked="false" rowHidden="false" textHAlign="justify" textVAlign="top">
            <anchor moveWithCells="false" sizeWithCells="false">
              <xdr:from>
                <xdr:col>0</xdr:col>
                <xdr:colOff>344</xdr:colOff>
                <xdr:row>2</xdr:row>
                <xdr:rowOff>0</xdr:rowOff>
              </xdr:from>
              <xdr:to>
                <xdr:col>1</xdr:col>
                <xdr:colOff>188</xdr:colOff>
                <xdr:row>7</xdr:row>
                <xdr:rowOff>8</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If a Feature is writable it will be disabled if the user has only Read-Access on a particular object
</t>
        </r>
        <r>
          <rPr>
            <b val="true"/>
            <sz val="9"/>
            <color rgb="FF000000"/>
            <rFont val="Tahoma"/>
            <family val="2"/>
            <charset val="1"/>
          </rPr>
          <t xml:space="preserve">WI:56492</t>
        </r>
      </text>
      <mc:AlternateContent>
        <mc:Choice Requires="v2">
          <commentPr autoFill="true" autoScale="false" colHidden="false" locked="false" rowHidden="false" textHAlign="justify" textVAlign="top">
            <anchor moveWithCells="false" sizeWithCells="false">
              <xdr:from>
                <xdr:col>0</xdr:col>
                <xdr:colOff>396</xdr:colOff>
                <xdr:row>3</xdr:row>
                <xdr:rowOff>4</xdr:rowOff>
              </xdr:from>
              <xdr:to>
                <xdr:col>1</xdr:col>
                <xdr:colOff>256</xdr:colOff>
                <xdr:row>8</xdr:row>
                <xdr:rowOff>20</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Informative Message to be displayed
</t>
        </r>
        <r>
          <rPr>
            <b val="true"/>
            <sz val="9"/>
            <color rgb="FF000000"/>
            <rFont val="Tahoma"/>
            <family val="2"/>
            <charset val="1"/>
          </rPr>
          <t xml:space="preserve">WI: 56492</t>
        </r>
      </text>
      <mc:AlternateContent>
        <mc:Choice Requires="v2">
          <commentPr autoFill="true" autoScale="false" colHidden="false" locked="false" rowHidden="false" textHAlign="justify" textVAlign="top">
            <anchor moveWithCells="false" sizeWithCells="false">
              <xdr:from>
                <xdr:col>1</xdr:col>
                <xdr:colOff>24</xdr:colOff>
                <xdr:row>6</xdr:row>
                <xdr:rowOff>16</xdr:rowOff>
              </xdr:from>
              <xdr:to>
                <xdr:col>2</xdr:col>
                <xdr:colOff>-407</xdr:colOff>
                <xdr:row>10</xdr:row>
                <xdr:rowOff>20</xdr:rowOff>
              </xdr:to>
            </anchor>
          </commentPr>
        </mc:Choice>
        <mc:Fallback/>
      </mc:AlternateContent>
    </comment>
    <comment ref="I1" authorId="1">
      <text>
        <r>
          <rPr>
            <sz val="10"/>
            <rFont val="Arial"/>
            <family val="2"/>
          </rPr>
          <t xml:space="preserve">Value must be:
</t>
        </r>
        <r>
          <rPr>
            <sz val="8"/>
            <color rgb="FF000000"/>
            <rFont val="Tahoma"/>
            <family val="2"/>
            <charset val="1"/>
          </rPr>
          <t xml:space="preserve">
List of existing roles, separated by ';'
</t>
        </r>
      </text>
      <mc:AlternateContent>
        <mc:Choice Requires="v2">
          <commentPr autoFill="true" autoScale="false" colHidden="false" locked="false" rowHidden="false" textHAlign="justify" textVAlign="top">
            <anchor moveWithCells="false" sizeWithCells="false">
              <xdr:from>
                <xdr:col>1</xdr:col>
                <xdr:colOff>152</xdr:colOff>
                <xdr:row>3</xdr:row>
                <xdr:rowOff>16</xdr:rowOff>
              </xdr:from>
              <xdr:to>
                <xdr:col>2</xdr:col>
                <xdr:colOff>-303</xdr:colOff>
                <xdr:row>6</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C1" authorId="0">
      <text>
        <r>
          <rPr>
            <sz val="10"/>
            <rFont val="Arial"/>
            <family val="2"/>
          </rPr>
          <t xml:space="preserve">Syntax:
</t>
        </r>
        <r>
          <rPr>
            <sz val="9"/>
            <color rgb="FF000000"/>
            <rFont val="Tahoma"/>
            <family val="2"/>
            <charset val="1"/>
          </rPr>
          <t xml:space="preserve">List separated by ';' with the following sintax
Role[RoleName] AccessMode[AccessMode]
Where AccessMode can be one of the following values
- NoAccess
- ReadAccess
- WriteAccess</t>
        </r>
      </text>
      <mc:AlternateContent>
        <mc:Choice Requires="v2">
          <commentPr autoFill="true" autoScale="false" colHidden="false" locked="false" rowHidden="false" textHAlign="justify" textVAlign="top">
            <anchor moveWithCells="false" sizeWithCells="false">
              <xdr:from>
                <xdr:col>2</xdr:col>
                <xdr:colOff>44</xdr:colOff>
                <xdr:row>3</xdr:row>
                <xdr:rowOff>0</xdr:rowOff>
              </xdr:from>
              <xdr:to>
                <xdr:col>6</xdr:col>
                <xdr:colOff>32</xdr:colOff>
                <xdr:row>9</xdr:row>
                <xdr:rowOff>20</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Luís Miguel Ponte</author>
  </authors>
  <commentList>
    <comment ref="A1" authorId="1">
      <text>
        <r>
          <rPr>
            <sz val="10"/>
            <rFont val="Arial"/>
            <family val="2"/>
          </rPr>
          <t xml:space="preserve">Value must be:
</t>
        </r>
        <r>
          <rPr>
            <sz val="8"/>
            <color rgb="FF000000"/>
            <rFont val="Tahoma"/>
            <family val="2"/>
            <charset val="1"/>
          </rPr>
          <t xml:space="preserve">User account existing in ActiveDirectory
</t>
        </r>
        <r>
          <rPr>
            <b val="true"/>
            <u val="single"/>
            <sz val="8"/>
            <color rgb="FF000000"/>
            <rFont val="Tahoma"/>
            <family val="2"/>
            <charset val="1"/>
          </rPr>
          <t xml:space="preserve">Remark:</t>
        </r>
        <r>
          <rPr>
            <sz val="8"/>
            <color rgb="FF000000"/>
            <rFont val="Tahoma"/>
            <family val="2"/>
            <charset val="1"/>
          </rPr>
          <t xml:space="preserve"> UserName and MailAddress are being uploaded not through the MDL but through the AD that the MDL fetches from the UserAccount</t>
        </r>
      </text>
      <mc:AlternateContent>
        <mc:Choice Requires="v2">
          <commentPr autoFill="true" autoScale="false" colHidden="false" locked="false" rowHidden="false" textHAlign="justify" textVAlign="top">
            <anchor moveWithCells="false" sizeWithCells="false">
              <xdr:from>
                <xdr:col>0</xdr:col>
                <xdr:colOff>144</xdr:colOff>
                <xdr:row>3</xdr:row>
                <xdr:rowOff>12</xdr:rowOff>
              </xdr:from>
              <xdr:to>
                <xdr:col>2</xdr:col>
                <xdr:colOff>52</xdr:colOff>
                <xdr:row>7</xdr:row>
                <xdr:rowOff>12</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
If a primary role is specified, the user will be automatically added to the Role as part of this transaction.
</t>
        </r>
      </text>
      <mc:AlternateContent>
        <mc:Choice Requires="v2">
          <commentPr autoFill="true" autoScale="false" colHidden="false" locked="false" rowHidden="false" textHAlign="justify" textVAlign="top">
            <anchor moveWithCells="false" sizeWithCells="false">
              <xdr:from>
                <xdr:col>1</xdr:col>
                <xdr:colOff>44</xdr:colOff>
                <xdr:row>2</xdr:row>
                <xdr:rowOff>0</xdr:rowOff>
              </xdr:from>
              <xdr:to>
                <xdr:col>2</xdr:col>
                <xdr:colOff>-88</xdr:colOff>
                <xdr:row>7</xdr:row>
                <xdr:rowOff>8</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Token - the user token in case that a keyboard wedge device is configured for user identification and authentication</t>
        </r>
      </text>
      <mc:AlternateContent>
        <mc:Choice Requires="v2">
          <commentPr autoFill="true" autoScale="false" colHidden="false" locked="false" rowHidden="false" textHAlign="justify" textVAlign="top">
            <anchor moveWithCells="false" sizeWithCells="false">
              <xdr:from>
                <xdr:col>1</xdr:col>
                <xdr:colOff>56</xdr:colOff>
                <xdr:row>2</xdr:row>
                <xdr:rowOff>8</xdr:rowOff>
              </xdr:from>
              <xdr:to>
                <xdr:col>2</xdr:col>
                <xdr:colOff>-52</xdr:colOff>
                <xdr:row>6</xdr:row>
                <xdr:rowOff>20</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PIN - a personal identification number which can be used in combination with the token for keyboard wedge used identification and authentication</t>
        </r>
      </text>
      <mc:AlternateContent>
        <mc:Choice Requires="v2">
          <commentPr autoFill="true" autoScale="false" colHidden="false" locked="false" rowHidden="false" textHAlign="justify" textVAlign="top">
            <anchor moveWithCells="false" sizeWithCells="false">
              <xdr:from>
                <xdr:col>1</xdr:col>
                <xdr:colOff>280</xdr:colOff>
                <xdr:row>2</xdr:row>
                <xdr:rowOff>4</xdr:rowOff>
              </xdr:from>
              <xdr:to>
                <xdr:col>3</xdr:col>
                <xdr:colOff>16</xdr:colOff>
                <xdr:row>7</xdr:row>
                <xdr:rowOff>8</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Indicates which authentication strategy should be used by Security Portal. It only applies if Security Portal is configured with more than one strategy.
</t>
        </r>
      </text>
      <mc:AlternateContent>
        <mc:Choice Requires="v2">
          <commentPr autoFill="true" autoScale="false" colHidden="false" locked="false" rowHidden="false" textHAlign="justify" textVAlign="top">
            <anchor moveWithCells="false" sizeWithCells="false">
              <xdr:from>
                <xdr:col>2</xdr:col>
                <xdr:colOff>124</xdr:colOff>
                <xdr:row>2</xdr:row>
                <xdr:rowOff>4</xdr:rowOff>
              </xdr:from>
              <xdr:to>
                <xdr:col>4</xdr:col>
                <xdr:colOff>36</xdr:colOff>
                <xdr:row>7</xdr:row>
                <xdr:rowOff>4</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Optionally, define a GUI session time-out, in seconds.
If not defined, it takes the default value as stored in the configuration 
If defined as zero, the GUI user session never times out.
</t>
        </r>
      </text>
      <mc:AlternateContent>
        <mc:Choice Requires="v2">
          <commentPr autoFill="true" autoScale="false" colHidden="false" locked="false" rowHidden="false" textHAlign="justify" textVAlign="top">
            <anchor moveWithCells="false" sizeWithCells="false">
              <xdr:from>
                <xdr:col>2</xdr:col>
                <xdr:colOff>124</xdr:colOff>
                <xdr:row>4</xdr:row>
                <xdr:rowOff>16</xdr:rowOff>
              </xdr:from>
              <xdr:to>
                <xdr:col>6</xdr:col>
                <xdr:colOff>36</xdr:colOff>
                <xdr:row>10</xdr:row>
                <xdr:rowOff>12</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An Integration User is typically used for equipment integration in order to relax some functional restrictions like forcing the user to be checked-in at the resource.
</t>
        </r>
      </text>
      <mc:AlternateContent>
        <mc:Choice Requires="v2">
          <commentPr autoFill="true" autoScale="false" colHidden="false" locked="false" rowHidden="false" textHAlign="justify" textVAlign="top">
            <anchor moveWithCells="false" sizeWithCells="false">
              <xdr:from>
                <xdr:col>7</xdr:col>
                <xdr:colOff>40</xdr:colOff>
                <xdr:row>4</xdr:row>
                <xdr:rowOff>4</xdr:rowOff>
              </xdr:from>
              <xdr:to>
                <xdr:col>9</xdr:col>
                <xdr:colOff>56</xdr:colOff>
                <xdr:row>9</xdr:row>
                <xdr:rowOff>8</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If this flag is enabled the user will be prompted to change the password on the next login. It only applies when the environment is configured to use Security Portal with a local authentication strategy.
</t>
        </r>
      </text>
      <mc:AlternateContent>
        <mc:Choice Requires="v2">
          <commentPr autoFill="true" autoScale="false" colHidden="false" locked="false" rowHidden="false" textHAlign="justify" textVAlign="top">
            <anchor moveWithCells="false" sizeWithCells="false">
              <xdr:from>
                <xdr:col>3</xdr:col>
                <xdr:colOff>72</xdr:colOff>
                <xdr:row>2</xdr:row>
                <xdr:rowOff>8</xdr:rowOff>
              </xdr:from>
              <xdr:to>
                <xdr:col>7</xdr:col>
                <xdr:colOff>76</xdr:colOff>
                <xdr:row>7</xdr:row>
                <xdr:rowOff>16</xdr:rowOff>
              </xdr:to>
            </anchor>
          </commentPr>
        </mc:Choice>
        <mc:Fallback/>
      </mc:AlternateContent>
    </comment>
    <comment ref="M1" authorId="1">
      <text>
        <r>
          <rPr>
            <sz val="10"/>
            <rFont val="Arial"/>
            <family val="2"/>
          </rPr>
          <t xml:space="preserve">Value must be:
</t>
        </r>
        <r>
          <rPr>
            <sz val="8"/>
            <color rgb="FF000000"/>
            <rFont val="Tahoma"/>
            <family val="2"/>
            <charset val="1"/>
          </rPr>
          <t xml:space="preserve">
List of existing roles, separated by ';'
</t>
        </r>
      </text>
      <mc:AlternateContent>
        <mc:Choice Requires="v2">
          <commentPr autoFill="true" autoScale="false" colHidden="false" locked="false" rowHidden="false" textHAlign="justify" textVAlign="top">
            <anchor moveWithCells="false" sizeWithCells="false">
              <xdr:from>
                <xdr:col>3</xdr:col>
                <xdr:colOff>96</xdr:colOff>
                <xdr:row>2</xdr:row>
                <xdr:rowOff>16</xdr:rowOff>
              </xdr:from>
              <xdr:to>
                <xdr:col>7</xdr:col>
                <xdr:colOff>8</xdr:colOff>
                <xdr:row>5</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B1" authorId="0">
      <text>
        <r>
          <rPr>
            <sz val="10"/>
            <rFont val="Arial"/>
            <family val="2"/>
          </rPr>
          <t xml:space="preserve">Syntax:
</t>
        </r>
        <r>
          <rPr>
            <sz val="9"/>
            <color rgb="FF000000"/>
            <rFont val="Tahoma"/>
            <family val="2"/>
            <charset val="1"/>
          </rPr>
          <t xml:space="preserve">
List separated by ';' with the following sintax
Role[RoleName] AccessMode[AccessMode]
Where AccessMode can be one of the following values
- ReadAccess
- WriteAccess
</t>
        </r>
      </text>
      <mc:AlternateContent>
        <mc:Choice Requires="v2">
          <commentPr autoFill="true" autoScale="false" colHidden="false" locked="false" rowHidden="false" textHAlign="justify" textVAlign="top">
            <anchor moveWithCells="false" sizeWithCells="false">
              <xdr:from>
                <xdr:col>0</xdr:col>
                <xdr:colOff>124</xdr:colOff>
                <xdr:row>2</xdr:row>
                <xdr:rowOff>16</xdr:rowOff>
              </xdr:from>
              <xdr:to>
                <xdr:col>2</xdr:col>
                <xdr:colOff>56</xdr:colOff>
                <xdr:row>11</xdr:row>
                <xdr:rowOff>4</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For Relation Only</t>
        </r>
      </text>
      <mc:AlternateContent>
        <mc:Choice Requires="v2">
          <commentPr autoFill="true" autoScale="false" colHidden="false" locked="false" rowHidden="false" textHAlign="justify" textVAlign="top">
            <anchor moveWithCells="false" sizeWithCells="false">
              <xdr:from>
                <xdr:col>2</xdr:col>
                <xdr:colOff>44</xdr:colOff>
                <xdr:row>2</xdr:row>
                <xdr:rowOff>16</xdr:rowOff>
              </xdr:from>
              <xdr:to>
                <xdr:col>4</xdr:col>
                <xdr:colOff>60</xdr:colOff>
                <xdr:row>5</xdr:row>
                <xdr:rowOff>20</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For Relation Only</t>
        </r>
      </text>
      <mc:AlternateContent>
        <mc:Choice Requires="v2">
          <commentPr autoFill="true" autoScale="false" colHidden="false" locked="false" rowHidden="false" textHAlign="justify" textVAlign="top">
            <anchor moveWithCells="false" sizeWithCells="false">
              <xdr:from>
                <xdr:col>4</xdr:col>
                <xdr:colOff>76</xdr:colOff>
                <xdr:row>2</xdr:row>
                <xdr:rowOff>16</xdr:rowOff>
              </xdr:from>
              <xdr:to>
                <xdr:col>6</xdr:col>
                <xdr:colOff>40</xdr:colOff>
                <xdr:row>5</xdr:row>
                <xdr:rowOff>20</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For Relation Only</t>
        </r>
      </text>
      <mc:AlternateContent>
        <mc:Choice Requires="v2">
          <commentPr autoFill="true" autoScale="false" colHidden="false" locked="false" rowHidden="false" textHAlign="justify" textVAlign="top">
            <anchor moveWithCells="false" sizeWithCells="false">
              <xdr:from>
                <xdr:col>5</xdr:col>
                <xdr:colOff>0</xdr:colOff>
                <xdr:row>2</xdr:row>
                <xdr:rowOff>4</xdr:rowOff>
              </xdr:from>
              <xdr:to>
                <xdr:col>6</xdr:col>
                <xdr:colOff>88</xdr:colOff>
                <xdr:row>5</xdr:row>
                <xdr:rowOff>4</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For Relation Only</t>
        </r>
      </text>
      <mc:AlternateContent>
        <mc:Choice Requires="v2">
          <commentPr autoFill="true" autoScale="false" colHidden="false" locked="false" rowHidden="false" textHAlign="justify" textVAlign="top">
            <anchor moveWithCells="false" sizeWithCells="false">
              <xdr:from>
                <xdr:col>6</xdr:col>
                <xdr:colOff>40</xdr:colOff>
                <xdr:row>2</xdr:row>
                <xdr:rowOff>8</xdr:rowOff>
              </xdr:from>
              <xdr:to>
                <xdr:col>8</xdr:col>
                <xdr:colOff>4</xdr:colOff>
                <xdr:row>5</xdr:row>
                <xdr:rowOff>12</xdr:rowOff>
              </xdr:to>
            </anchor>
          </commentPr>
        </mc:Choice>
        <mc:Fallback/>
      </mc:AlternateContent>
    </comment>
    <comment ref="W1" authorId="0">
      <text>
        <r>
          <rPr>
            <sz val="10"/>
            <rFont val="Arial"/>
            <family val="2"/>
          </rPr>
          <t xml:space="preserve">José Romeu Gonçalves:
</t>
        </r>
        <r>
          <rPr>
            <sz val="9"/>
            <color rgb="FF000000"/>
            <rFont val="Tahoma"/>
            <family val="2"/>
            <charset val="1"/>
          </rPr>
          <t xml:space="preserve">
Instances of the entity type are purged from the online database after they are terminated for more than the specified retention time (in days)</t>
        </r>
      </text>
      <mc:AlternateContent>
        <mc:Choice Requires="v2">
          <commentPr autoFill="true" autoScale="false" colHidden="false" locked="false" rowHidden="false" textHAlign="justify" textVAlign="top">
            <anchor moveWithCells="false" sizeWithCells="false">
              <xdr:from>
                <xdr:col>20</xdr:col>
                <xdr:colOff>180</xdr:colOff>
                <xdr:row>4</xdr:row>
                <xdr:rowOff>12</xdr:rowOff>
              </xdr:from>
              <xdr:to>
                <xdr:col>22</xdr:col>
                <xdr:colOff>104</xdr:colOff>
                <xdr:row>8</xdr:row>
                <xdr:rowOff>20</xdr:rowOff>
              </xdr:to>
            </anchor>
          </commentPr>
        </mc:Choice>
        <mc:Fallback/>
      </mc:AlternateContent>
    </comment>
    <comment ref="X1" authorId="0">
      <text>
        <r>
          <rPr>
            <sz val="10"/>
            <rFont val="Arial"/>
            <family val="2"/>
          </rPr>
          <t xml:space="preserve">José Romeu Gonçalves:
</t>
        </r>
        <r>
          <rPr>
            <sz val="9"/>
            <color rgb="FF000000"/>
            <rFont val="Tahoma"/>
            <family val="2"/>
            <charset val="1"/>
          </rPr>
          <t xml:space="preserve">
to be used when showing the entity history in the GUI - if not specified, the system will use 180 days</t>
        </r>
      </text>
      <mc:AlternateContent>
        <mc:Choice Requires="v2">
          <commentPr autoFill="true" autoScale="false" colHidden="false" locked="false" rowHidden="false" textHAlign="justify" textVAlign="top">
            <anchor moveWithCells="false" sizeWithCells="false">
              <xdr:from>
                <xdr:col>21</xdr:col>
                <xdr:colOff>104</xdr:colOff>
                <xdr:row>6</xdr:row>
                <xdr:rowOff>8</xdr:rowOff>
              </xdr:from>
              <xdr:to>
                <xdr:col>23</xdr:col>
                <xdr:colOff>56</xdr:colOff>
                <xdr:row>10</xdr:row>
                <xdr:rowOff>4</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Select whether the context is deleted on context change - a context is used to find the counter (only applicable to Name Generator(s) that contain RolloverCounters).
</t>
        </r>
      </text>
      <mc:AlternateContent>
        <mc:Choice Requires="v2">
          <commentPr autoFill="true" autoScale="false" colHidden="false" locked="false" rowHidden="false" textHAlign="justify" textVAlign="top">
            <anchor moveWithCells="false" sizeWithCells="false">
              <xdr:from>
                <xdr:col>2</xdr:col>
                <xdr:colOff>96</xdr:colOff>
                <xdr:row>4</xdr:row>
                <xdr:rowOff>0</xdr:rowOff>
              </xdr:from>
              <xdr:to>
                <xdr:col>5</xdr:col>
                <xdr:colOff>16</xdr:colOff>
                <xdr:row>8</xdr:row>
                <xdr:rowOff>16</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
Select whether the Name Generator is synchronous, that is, the counter sequences are not increased if the transaction fails.</t>
        </r>
      </text>
      <mc:AlternateContent>
        <mc:Choice Requires="v2">
          <commentPr autoFill="true" autoScale="false" colHidden="false" locked="false" rowHidden="false" textHAlign="justify" textVAlign="top">
            <anchor moveWithCells="false" sizeWithCells="false">
              <xdr:from>
                <xdr:col>2</xdr:col>
                <xdr:colOff>156</xdr:colOff>
                <xdr:row>0</xdr:row>
                <xdr:rowOff>0</xdr:rowOff>
              </xdr:from>
              <xdr:to>
                <xdr:col>5</xdr:col>
                <xdr:colOff>80</xdr:colOff>
                <xdr:row>4</xdr:row>
                <xdr:rowOff>8</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AbsoluteCounter - a counter which is never reset, it increases by one every time. In this case Value field has no meaning, but the Format field can be used to specify how the counter value will be formatted.
Constant - a constant as defined in the Value field. In this case Format field has no meaning.
DateTime - the current server local time. Do not provide a Value in this case, but rather a Format
FiscalDatetime - the current fiscal information according a defined Fiscal Calendar, in this case the Value must refer to a valid Fiscal Calendar and its desired part. Also the Format can be used to specify how the resulting value will be formatted.
Dee - Value must contain the name of a valid Dee rule. Also the Format can be used to specify how the resulting value will be formatted.
RolloverCounter - a counter which is reset every time the context changes. In this case Value field has no meaning, but the Format field can be used to specify how the counter value will be formatted.
Guid - a system generated Guid (Globally Unique Identifier) - the Value and Format fields have no meaning in this case.
Property - the value of a property of a given entity type - the Value field must contain the name of the Object and Property.</t>
        </r>
      </text>
      <mc:AlternateContent>
        <mc:Choice Requires="v2">
          <commentPr autoFill="true" autoScale="false" colHidden="false" locked="false" rowHidden="false" textHAlign="justify" textVAlign="top">
            <anchor moveWithCells="false" sizeWithCells="false">
              <xdr:from>
                <xdr:col>4</xdr:col>
                <xdr:colOff>116</xdr:colOff>
                <xdr:row>0</xdr:row>
                <xdr:rowOff>0</xdr:rowOff>
              </xdr:from>
              <xdr:to>
                <xdr:col>11</xdr:col>
                <xdr:colOff>72</xdr:colOff>
                <xdr:row>18</xdr:row>
                <xdr:rowOff>4</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Possible Values:
</t>
        </r>
        <r>
          <rPr>
            <sz val="9"/>
            <color rgb="FF000000"/>
            <rFont val="Tahoma"/>
            <family val="2"/>
            <charset val="1"/>
          </rPr>
          <t xml:space="preserve"> - Attribute
 - CustomProperty
 - Property</t>
        </r>
      </text>
      <mc:AlternateContent>
        <mc:Choice Requires="v2">
          <commentPr autoFill="true" autoScale="false" colHidden="false" locked="false" rowHidden="false" textHAlign="justify" textVAlign="top">
            <anchor moveWithCells="false" sizeWithCells="false">
              <xdr:from>
                <xdr:col>4</xdr:col>
                <xdr:colOff>0</xdr:colOff>
                <xdr:row>0</xdr:row>
                <xdr:rowOff>0</xdr:rowOff>
              </xdr:from>
              <xdr:to>
                <xdr:col>6</xdr:col>
                <xdr:colOff>4</xdr:colOff>
                <xdr:row>4</xdr:row>
                <xdr:rowOff>16</xdr:rowOff>
              </xdr:to>
            </anchor>
          </commentPr>
        </mc:Choice>
        <mc:Fallback/>
      </mc:AlternateContent>
    </comment>
    <comment ref="G1" authorId="1">
      <text>
        <r>
          <rPr>
            <sz val="10"/>
            <rFont val="Arial"/>
            <family val="2"/>
          </rPr>
          <t xml:space="preserve">Syntax:
</t>
        </r>
        <r>
          <rPr>
            <sz val="9"/>
            <color rgb="FF000000"/>
            <rFont val="Tahoma"/>
            <family val="2"/>
            <charset val="1"/>
          </rPr>
          <t xml:space="preserve">One of the following values:
 - None
 - EntityType
 - LookupValue
 - LookupTable
 - SmartTable
 - GenericTable
 - Enum
 - EntityDefinition
 - EntityVersion</t>
        </r>
      </text>
      <mc:AlternateContent>
        <mc:Choice Requires="v2">
          <commentPr autoFill="true" autoScale="false" colHidden="false" locked="false" rowHidden="false" textHAlign="justify" textVAlign="top">
            <anchor moveWithCells="false" sizeWithCells="false">
              <xdr:from>
                <xdr:col>7</xdr:col>
                <xdr:colOff>100</xdr:colOff>
                <xdr:row>0</xdr:row>
                <xdr:rowOff>0</xdr:rowOff>
              </xdr:from>
              <xdr:to>
                <xdr:col>11</xdr:col>
                <xdr:colOff>52</xdr:colOff>
                <xdr:row>9</xdr:row>
                <xdr:rowOff>16</xdr:rowOff>
              </xdr:to>
            </anchor>
          </commentPr>
        </mc:Choice>
        <mc:Fallback/>
      </mc:AlternateContent>
    </comment>
    <comment ref="H1" authorId="0">
      <text>
        <r>
          <rPr>
            <sz val="10"/>
            <rFont val="Arial"/>
            <family val="2"/>
          </rPr>
          <t xml:space="preserve">If ReferenceType = Enum or LookupValue or StateModel
</t>
        </r>
      </text>
      <mc:AlternateContent>
        <mc:Choice Requires="v2">
          <commentPr autoFill="true" autoScale="false" colHidden="false" locked="false" rowHidden="false" textHAlign="justify" textVAlign="top">
            <anchor moveWithCells="false" sizeWithCells="false">
              <xdr:from>
                <xdr:col>3</xdr:col>
                <xdr:colOff>24</xdr:colOff>
                <xdr:row>3</xdr:row>
                <xdr:rowOff>4</xdr:rowOff>
              </xdr:from>
              <xdr:to>
                <xdr:col>5</xdr:col>
                <xdr:colOff>36</xdr:colOff>
                <xdr:row>5</xdr:row>
                <xdr:rowOff>16</xdr:rowOff>
              </xdr:to>
            </anchor>
          </commentPr>
        </mc:Choice>
        <mc:Fallback/>
      </mc:AlternateContent>
    </comment>
    <comment ref="I1" authorId="0">
      <text>
        <r>
          <rPr>
            <sz val="10"/>
            <rFont val="Arial"/>
            <family val="2"/>
          </rPr>
          <t xml:space="preserve">If ReferenceType = None</t>
        </r>
      </text>
      <mc:AlternateContent>
        <mc:Choice Requires="v2">
          <commentPr autoFill="true" autoScale="false" colHidden="false" locked="false" rowHidden="false" textHAlign="justify" textVAlign="top">
            <anchor moveWithCells="false" sizeWithCells="false">
              <xdr:from>
                <xdr:col>5</xdr:col>
                <xdr:colOff>32</xdr:colOff>
                <xdr:row>4</xdr:row>
                <xdr:rowOff>0</xdr:rowOff>
              </xdr:from>
              <xdr:to>
                <xdr:col>7</xdr:col>
                <xdr:colOff>32</xdr:colOff>
                <xdr:row>5</xdr:row>
                <xdr:rowOff>8</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whether the attribute must be copied on clone or not</t>
        </r>
      </text>
      <mc:AlternateContent>
        <mc:Choice Requires="v2">
          <commentPr autoFill="true" autoScale="false" colHidden="false" locked="false" rowHidden="false" textHAlign="justify" textVAlign="top">
            <anchor moveWithCells="false" sizeWithCells="false">
              <xdr:from>
                <xdr:col>9</xdr:col>
                <xdr:colOff>32</xdr:colOff>
                <xdr:row>4</xdr:row>
                <xdr:rowOff>0</xdr:rowOff>
              </xdr:from>
              <xdr:to>
                <xdr:col>11</xdr:col>
                <xdr:colOff>56</xdr:colOff>
                <xdr:row>7</xdr:row>
                <xdr:rowOff>12</xdr:rowOff>
              </xdr:to>
            </anchor>
          </commentPr>
        </mc:Choice>
        <mc:Fallback/>
      </mc:AlternateContent>
    </comment>
    <comment ref="O1" authorId="1">
      <text>
        <r>
          <rPr>
            <sz val="10"/>
            <rFont val="Arial"/>
            <family val="2"/>
          </rPr>
          <t xml:space="preserve">Possible Values:
</t>
        </r>
        <r>
          <rPr>
            <sz val="9"/>
            <color rgb="FF000000"/>
            <rFont val="Tahoma"/>
            <family val="2"/>
            <charset val="1"/>
          </rPr>
          <t xml:space="preserve"> - Definition (this is the default)
 - Version</t>
        </r>
      </text>
      <mc:AlternateContent>
        <mc:Choice Requires="v2">
          <commentPr autoFill="true" autoScale="false" colHidden="false" locked="false" rowHidden="false" textHAlign="justify" textVAlign="top">
            <anchor moveWithCells="false" sizeWithCells="false">
              <xdr:from>
                <xdr:col>10</xdr:col>
                <xdr:colOff>32</xdr:colOff>
                <xdr:row>3</xdr:row>
                <xdr:rowOff>0</xdr:rowOff>
              </xdr:from>
              <xdr:to>
                <xdr:col>13</xdr:col>
                <xdr:colOff>4</xdr:colOff>
                <xdr:row>6</xdr:row>
                <xdr:rowOff>4</xdr:rowOff>
              </xdr:to>
            </anchor>
          </commentPr>
        </mc:Choice>
        <mc:Fallback/>
      </mc:AlternateContent>
    </comment>
    <comment ref="V1" authorId="0">
      <text>
        <r>
          <rPr>
            <sz val="10"/>
            <rFont val="Arial"/>
            <family val="2"/>
          </rPr>
          <t xml:space="preserve">José Romeu Gonçalves:
</t>
        </r>
        <r>
          <rPr>
            <sz val="9"/>
            <color rgb="FF000000"/>
            <rFont val="Tahoma"/>
            <family val="2"/>
            <charset val="1"/>
          </rPr>
          <t xml:space="preserve">
A set of access levels which apply to the entity and the template:
- Whether it's read only at create or update
- Whether it's hidden at create or update</t>
        </r>
      </text>
      <mc:AlternateContent>
        <mc:Choice Requires="v2">
          <commentPr autoFill="true" autoScale="false" colHidden="false" locked="false" rowHidden="false" textHAlign="justify" textVAlign="top">
            <anchor moveWithCells="false" sizeWithCells="false">
              <xdr:from>
                <xdr:col>16</xdr:col>
                <xdr:colOff>28</xdr:colOff>
                <xdr:row>3</xdr:row>
                <xdr:rowOff>12</xdr:rowOff>
              </xdr:from>
              <xdr:to>
                <xdr:col>20</xdr:col>
                <xdr:colOff>16</xdr:colOff>
                <xdr:row>8</xdr:row>
                <xdr:rowOff>16</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Select the Entity Type for which the State Model will apply. More common are:
- Resource. To create a new Resource State model for Instance
- Protoco
linstance: To be assigned to a Protocol
- ChangeSet: For ChangeSetContext table
- Material
</t>
        </r>
      </text>
      <mc:AlternateContent>
        <mc:Choice Requires="v2">
          <commentPr autoFill="true" autoScale="false" colHidden="false" locked="false" rowHidden="false" textHAlign="justify" textVAlign="top">
            <anchor moveWithCells="false" sizeWithCells="false">
              <xdr:from>
                <xdr:col>1</xdr:col>
                <xdr:colOff>64</xdr:colOff>
                <xdr:row>5</xdr:row>
                <xdr:rowOff>0</xdr:rowOff>
              </xdr:from>
              <xdr:to>
                <xdr:col>4</xdr:col>
                <xdr:colOff>8</xdr:colOff>
                <xdr:row>11</xdr:row>
                <xdr:rowOff>8</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A1" authorId="0">
      <text>
        <r>
          <rPr>
            <sz val="10"/>
            <rFont val="Arial"/>
            <family val="2"/>
          </rPr>
          <t xml:space="preserve">José Romeu Gonçalves:
</t>
        </r>
        <r>
          <rPr>
            <sz val="9"/>
            <color rgb="FF000000"/>
            <rFont val="Tahoma"/>
            <family val="2"/>
            <charset val="1"/>
          </rPr>
          <t xml:space="preserve">
An existing StateModel previously created in the "StateModel" worksheet</t>
        </r>
      </text>
      <mc:AlternateContent>
        <mc:Choice Requires="v2">
          <commentPr autoFill="true" autoScale="false" colHidden="false" locked="false" rowHidden="false" textHAlign="justify" textVAlign="top">
            <anchor moveWithCells="false" sizeWithCells="false">
              <xdr:from>
                <xdr:col>0</xdr:col>
                <xdr:colOff>188</xdr:colOff>
                <xdr:row>4</xdr:row>
                <xdr:rowOff>8</xdr:rowOff>
              </xdr:from>
              <xdr:to>
                <xdr:col>2</xdr:col>
                <xdr:colOff>52</xdr:colOff>
                <xdr:row>7</xdr:row>
                <xdr:rowOff>12</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State Name</t>
        </r>
      </text>
      <mc:AlternateContent>
        <mc:Choice Requires="v2">
          <commentPr autoFill="true" autoScale="false" colHidden="false" locked="false" rowHidden="false" textHAlign="justify" textVAlign="top">
            <anchor moveWithCells="false" sizeWithCells="false">
              <xdr:from>
                <xdr:col>0</xdr:col>
                <xdr:colOff>84</xdr:colOff>
                <xdr:row>3</xdr:row>
                <xdr:rowOff>8</xdr:rowOff>
              </xdr:from>
              <xdr:to>
                <xdr:col>1</xdr:col>
                <xdr:colOff>36</xdr:colOff>
                <xdr:row>6</xdr:row>
                <xdr:rowOff>8</xdr:rowOff>
              </xdr:to>
            </anchor>
          </commentPr>
        </mc:Choice>
        <mc:Fallback/>
      </mc:AlternateContent>
    </comment>
    <comment ref="D1" authorId="1">
      <text>
        <r>
          <rPr>
            <sz val="10"/>
            <rFont val="Arial"/>
            <family val="2"/>
          </rPr>
          <t xml:space="preserve">Syntax:
</t>
        </r>
        <r>
          <rPr>
            <sz val="9"/>
            <color rgb="FF000000"/>
            <rFont val="Tahoma"/>
            <family val="2"/>
            <charset val="1"/>
          </rPr>
          <t xml:space="preserve">
Existing Role Name that will have access to the State</t>
        </r>
      </text>
      <mc:AlternateContent>
        <mc:Choice Requires="v2">
          <commentPr autoFill="true" autoScale="false" colHidden="false" locked="false" rowHidden="false" textHAlign="justify" textVAlign="top">
            <anchor moveWithCells="false" sizeWithCells="false">
              <xdr:from>
                <xdr:col>0</xdr:col>
                <xdr:colOff>132</xdr:colOff>
                <xdr:row>3</xdr:row>
                <xdr:rowOff>8</xdr:rowOff>
              </xdr:from>
              <xdr:to>
                <xdr:col>1</xdr:col>
                <xdr:colOff>128</xdr:colOff>
                <xdr:row>6</xdr:row>
                <xdr:rowOff>16</xdr:rowOff>
              </xdr:to>
            </anchor>
          </commentPr>
        </mc:Choice>
        <mc:Fallback/>
      </mc:AlternateContent>
    </comment>
    <comment ref="G1" authorId="1">
      <text>
        <r>
          <rPr>
            <sz val="10"/>
            <rFont val="Arial"/>
            <family val="2"/>
          </rPr>
          <t xml:space="preserve">Systax:
</t>
        </r>
        <r>
          <rPr>
            <sz val="9"/>
            <color rgb="FF000000"/>
            <rFont val="Tahoma"/>
            <family val="2"/>
            <charset val="1"/>
          </rPr>
          <t xml:space="preserve">
Each item is delimited by a semi-colon ';'
Format of each item is:
Name[AttributeName] ScalarType[ScalarTypeName] Value[AttributeValue]
If Attribute is Array Values will be separated by comma (',')
Example:
Name[Basic] ScalarType[VarChar] Value[Up];Name[SEMI-E10] ScalarType[VarChar] Value[Standby];Name[ExcludeFromScheduling] ScalarType[Bit] Value[False];Name[Color] ScalarType[VarChar] Value[#ff0000]</t>
        </r>
      </text>
      <mc:AlternateContent>
        <mc:Choice Requires="v2">
          <commentPr autoFill="true" autoScale="false" colHidden="false" locked="false" rowHidden="false" textHAlign="justify" textVAlign="top">
            <anchor moveWithCells="false" sizeWithCells="false">
              <xdr:from>
                <xdr:col>0</xdr:col>
                <xdr:colOff>148</xdr:colOff>
                <xdr:row>5</xdr:row>
                <xdr:rowOff>16</xdr:rowOff>
              </xdr:from>
              <xdr:to>
                <xdr:col>3</xdr:col>
                <xdr:colOff>428</xdr:colOff>
                <xdr:row>17</xdr:row>
                <xdr:rowOff>16</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A1" authorId="0">
      <text>
        <r>
          <rPr>
            <sz val="10"/>
            <rFont val="Arial"/>
            <family val="2"/>
          </rPr>
          <t xml:space="preserve">José Romeu Gonçalves:
</t>
        </r>
        <r>
          <rPr>
            <sz val="9"/>
            <color rgb="FF000000"/>
            <rFont val="Tahoma"/>
            <family val="2"/>
            <charset val="1"/>
          </rPr>
          <t xml:space="preserve">
An existing StateModel previously created in the "StateModel" worksheet</t>
        </r>
      </text>
      <mc:AlternateContent>
        <mc:Choice Requires="v2">
          <commentPr autoFill="true" autoScale="false" colHidden="false" locked="false" rowHidden="false" textHAlign="justify" textVAlign="top">
            <anchor moveWithCells="false" sizeWithCells="false">
              <xdr:from>
                <xdr:col>1</xdr:col>
                <xdr:colOff>68</xdr:colOff>
                <xdr:row>0</xdr:row>
                <xdr:rowOff>0</xdr:rowOff>
              </xdr:from>
              <xdr:to>
                <xdr:col>2</xdr:col>
                <xdr:colOff>-228</xdr:colOff>
                <xdr:row>3</xdr:row>
                <xdr:rowOff>4</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
An existing State previously created in the "StateModelState" worksheet</t>
        </r>
      </text>
      <mc:AlternateContent>
        <mc:Choice Requires="v2">
          <commentPr autoFill="true" autoScale="false" colHidden="false" locked="false" rowHidden="false" textHAlign="justify" textVAlign="top">
            <anchor moveWithCells="false" sizeWithCells="false">
              <xdr:from>
                <xdr:col>0</xdr:col>
                <xdr:colOff>136</xdr:colOff>
                <xdr:row>4</xdr:row>
                <xdr:rowOff>8</xdr:rowOff>
              </xdr:from>
              <xdr:to>
                <xdr:col>1</xdr:col>
                <xdr:colOff>164</xdr:colOff>
                <xdr:row>7</xdr:row>
                <xdr:rowOff>12</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An existing State previously created in the "StateModelState" worksheet</t>
        </r>
      </text>
      <mc:AlternateContent>
        <mc:Choice Requires="v2">
          <commentPr autoFill="true" autoScale="false" colHidden="false" locked="false" rowHidden="false" textHAlign="justify" textVAlign="top">
            <anchor moveWithCells="false" sizeWithCells="false">
              <xdr:from>
                <xdr:col>1</xdr:col>
                <xdr:colOff>112</xdr:colOff>
                <xdr:row>3</xdr:row>
                <xdr:rowOff>8</xdr:rowOff>
              </xdr:from>
              <xdr:to>
                <xdr:col>2</xdr:col>
                <xdr:colOff>-256</xdr:colOff>
                <xdr:row>6</xdr:row>
                <xdr:rowOff>12</xdr:rowOff>
              </xdr:to>
            </anchor>
          </commentPr>
        </mc:Choice>
        <mc:Fallback/>
      </mc:AlternateContent>
    </comment>
    <comment ref="F1" authorId="1">
      <text>
        <r>
          <rPr>
            <sz val="10"/>
            <rFont val="Arial"/>
            <family val="2"/>
          </rPr>
          <t xml:space="preserve">Syntax:
</t>
        </r>
        <r>
          <rPr>
            <sz val="9"/>
            <color rgb="FF000000"/>
            <rFont val="Tahoma"/>
            <family val="2"/>
            <charset val="1"/>
          </rPr>
          <t xml:space="preserve">
Existing Role Name</t>
        </r>
      </text>
      <mc:AlternateContent>
        <mc:Choice Requires="v2">
          <commentPr autoFill="true" autoScale="false" colHidden="false" locked="false" rowHidden="false" textHAlign="justify" textVAlign="top">
            <anchor moveWithCells="false" sizeWithCells="false">
              <xdr:from>
                <xdr:col>1</xdr:col>
                <xdr:colOff>116</xdr:colOff>
                <xdr:row>4</xdr:row>
                <xdr:rowOff>0</xdr:rowOff>
              </xdr:from>
              <xdr:to>
                <xdr:col>2</xdr:col>
                <xdr:colOff>-344</xdr:colOff>
                <xdr:row>6</xdr:row>
                <xdr:rowOff>20</xdr:rowOff>
              </xdr:to>
            </anchor>
          </commentPr>
        </mc:Choice>
        <mc:Fallback/>
      </mc:AlternateContent>
    </comment>
    <comment ref="G1" authorId="1">
      <text>
        <r>
          <rPr>
            <sz val="10"/>
            <rFont val="Arial"/>
            <family val="2"/>
          </rPr>
          <t xml:space="preserve">Syntax:
</t>
        </r>
        <r>
          <rPr>
            <sz val="9"/>
            <color rgb="FF000000"/>
            <rFont val="Tahoma"/>
            <family val="2"/>
            <charset val="1"/>
          </rPr>
          <t xml:space="preserve">
Existing Lookup Table Name</t>
        </r>
      </text>
      <mc:AlternateContent>
        <mc:Choice Requires="v2">
          <commentPr autoFill="true" autoScale="false" colHidden="false" locked="false" rowHidden="false" textHAlign="justify" textVAlign="top">
            <anchor moveWithCells="false" sizeWithCells="false">
              <xdr:from>
                <xdr:col>1</xdr:col>
                <xdr:colOff>44</xdr:colOff>
                <xdr:row>4</xdr:row>
                <xdr:rowOff>8</xdr:rowOff>
              </xdr:from>
              <xdr:to>
                <xdr:col>2</xdr:col>
                <xdr:colOff>-388</xdr:colOff>
                <xdr:row>7</xdr:row>
                <xdr:rowOff>12</xdr:rowOff>
              </xdr:to>
            </anchor>
          </commentPr>
        </mc:Choice>
        <mc:Fallback/>
      </mc:AlternateContent>
    </comment>
    <comment ref="H1" authorId="1">
      <text>
        <r>
          <rPr>
            <sz val="10"/>
            <rFont val="Arial"/>
            <family val="2"/>
          </rPr>
          <t xml:space="preserve">Manuel Maria Brandão:
</t>
        </r>
        <r>
          <rPr>
            <sz val="9"/>
            <color rgb="FF000000"/>
            <rFont val="Tahoma"/>
            <family val="2"/>
            <charset val="1"/>
          </rPr>
          <t xml:space="preserve">
Lookup Table value that exists in the ReasonLookupTable</t>
        </r>
      </text>
      <mc:AlternateContent>
        <mc:Choice Requires="v2">
          <commentPr autoFill="true" autoScale="false" colHidden="false" locked="false" rowHidden="false" textHAlign="justify" textVAlign="top">
            <anchor moveWithCells="false" sizeWithCells="false">
              <xdr:from>
                <xdr:col>1</xdr:col>
                <xdr:colOff>80</xdr:colOff>
                <xdr:row>3</xdr:row>
                <xdr:rowOff>4</xdr:rowOff>
              </xdr:from>
              <xdr:to>
                <xdr:col>2</xdr:col>
                <xdr:colOff>-316</xdr:colOff>
                <xdr:row>6</xdr:row>
                <xdr:rowOff>20</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Ricardo Jorge Carneiro</author>
  </authors>
  <commentList>
    <comment ref="E1" authorId="0">
      <text>
        <r>
          <rPr>
            <sz val="10"/>
            <rFont val="Arial"/>
            <family val="2"/>
          </rPr>
          <t xml:space="preserve">Ricardo Jorge Carneiro:
</t>
        </r>
        <r>
          <rPr>
            <sz val="9"/>
            <color rgb="FF000000"/>
            <rFont val="Tahoma"/>
            <family val="2"/>
            <charset val="1"/>
          </rPr>
          <t xml:space="preserve">
You can define one or more ActionGroups and Orders by separate them thru ':'
a)
Default.Action.Group.Path
b)
Default.Action.Group.Path:Order
c)
Default.Action.Group.Path1:Order1;Default.Action.Group.Path2:Order2;...
Eg.:
BusinessObjects.Area.Terminate.Post:1;
BusinessObjects.Area.Unterminate.Post:2</t>
        </r>
      </text>
      <mc:AlternateContent>
        <mc:Choice Requires="v2">
          <commentPr autoFill="true" autoScale="false" colHidden="false" locked="false" rowHidden="false" textHAlign="justify" textVAlign="top">
            <anchor moveWithCells="false" sizeWithCells="false">
              <xdr:from>
                <xdr:col>3</xdr:col>
                <xdr:colOff>28</xdr:colOff>
                <xdr:row>0</xdr:row>
                <xdr:rowOff>0</xdr:rowOff>
              </xdr:from>
              <xdr:to>
                <xdr:col>7</xdr:col>
                <xdr:colOff>20</xdr:colOff>
                <xdr:row>13</xdr:row>
                <xdr:rowOff>8</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Scope classification for DEE Actions</t>
        </r>
      </text>
      <mc:AlternateContent>
        <mc:Choice Requires="v2">
          <commentPr autoFill="true" autoScale="false" colHidden="false" locked="false" rowHidden="false" textHAlign="justify" textVAlign="top">
            <anchor moveWithCells="false" sizeWithCells="false">
              <xdr:from>
                <xdr:col>1</xdr:col>
                <xdr:colOff>72</xdr:colOff>
                <xdr:row>0</xdr:row>
                <xdr:rowOff>0</xdr:rowOff>
              </xdr:from>
              <xdr:to>
                <xdr:col>5</xdr:col>
                <xdr:colOff>48</xdr:colOff>
                <xdr:row>2</xdr:row>
                <xdr:rowOff>20</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D1" authorId="0">
      <text>
        <r>
          <rPr>
            <sz val="10"/>
            <rFont val="Arial"/>
            <family val="2"/>
          </rPr>
          <t xml:space="preserve">Value Must belong to:
</t>
        </r>
        <r>
          <rPr>
            <sz val="9"/>
            <color rgb="FF000000"/>
            <rFont val="Tahoma"/>
            <family val="2"/>
            <charset val="1"/>
          </rPr>
          <t xml:space="preserve">
LookupTable </t>
        </r>
        <r>
          <rPr>
            <u val="single"/>
            <sz val="9"/>
            <color rgb="FF000000"/>
            <rFont val="Tahoma"/>
            <family val="2"/>
            <charset val="1"/>
          </rPr>
          <t xml:space="preserve">RuleScope</t>
        </r>
      </text>
      <mc:AlternateContent>
        <mc:Choice Requires="v2">
          <commentPr autoFill="true" autoScale="false" colHidden="false" locked="false" rowHidden="false" textHAlign="justify" textVAlign="top">
            <anchor moveWithCells="false" sizeWithCells="false">
              <xdr:from>
                <xdr:col>5</xdr:col>
                <xdr:colOff>8</xdr:colOff>
                <xdr:row>3</xdr:row>
                <xdr:rowOff>16</xdr:rowOff>
              </xdr:from>
              <xdr:to>
                <xdr:col>7</xdr:col>
                <xdr:colOff>56</xdr:colOff>
                <xdr:row>6</xdr:row>
                <xdr:rowOff>20</xdr:rowOff>
              </xdr:to>
            </anchor>
          </commentPr>
        </mc:Choice>
        <mc:Fallback/>
      </mc:AlternateContent>
    </comment>
    <comment ref="E1" authorId="0">
      <text>
        <r>
          <rPr>
            <sz val="10"/>
            <rFont val="Arial"/>
            <family val="2"/>
          </rPr>
          <t xml:space="preserve">Value must be the name of one DEE Rule</t>
        </r>
      </text>
      <mc:AlternateContent>
        <mc:Choice Requires="v2">
          <commentPr autoFill="true" autoScale="false" colHidden="false" locked="false" rowHidden="false" textHAlign="justify" textVAlign="top">
            <anchor moveWithCells="false" sizeWithCells="false">
              <xdr:from>
                <xdr:col>8</xdr:col>
                <xdr:colOff>12</xdr:colOff>
                <xdr:row>3</xdr:row>
                <xdr:rowOff>16</xdr:rowOff>
              </xdr:from>
              <xdr:to>
                <xdr:col>11</xdr:col>
                <xdr:colOff>60</xdr:colOff>
                <xdr:row>5</xdr:row>
                <xdr:rowOff>4</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ChangeSetType</t>
        </r>
      </text>
      <mc:AlternateContent>
        <mc:Choice Requires="v2">
          <commentPr autoFill="true" autoScale="false" colHidden="false" locked="false" rowHidden="false" textHAlign="justify" textVAlign="top">
            <anchor moveWithCells="false" sizeWithCells="false">
              <xdr:from>
                <xdr:col>1</xdr:col>
                <xdr:colOff>20</xdr:colOff>
                <xdr:row>9</xdr:row>
                <xdr:rowOff>8</xdr:rowOff>
              </xdr:from>
              <xdr:to>
                <xdr:col>3</xdr:col>
                <xdr:colOff>68</xdr:colOff>
                <xdr:row>12</xdr:row>
                <xdr:rowOff>8</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From LookupTable ChangeSetChangeCategory</t>
        </r>
      </text>
      <mc:AlternateContent>
        <mc:Choice Requires="v2">
          <commentPr autoFill="true" autoScale="false" colHidden="false" locked="false" rowHidden="false" textHAlign="justify" textVAlign="top">
            <anchor moveWithCells="false" sizeWithCells="false">
              <xdr:from>
                <xdr:col>1</xdr:col>
                <xdr:colOff>0</xdr:colOff>
                <xdr:row>4</xdr:row>
                <xdr:rowOff>4</xdr:rowOff>
              </xdr:from>
              <xdr:to>
                <xdr:col>4</xdr:col>
                <xdr:colOff>68</xdr:colOff>
                <xdr:row>8</xdr:row>
                <xdr:rowOff>12</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From LookupTable ChangeSetUrgency</t>
        </r>
      </text>
      <mc:AlternateContent>
        <mc:Choice Requires="v2">
          <commentPr autoFill="true" autoScale="false" colHidden="false" locked="false" rowHidden="false" textHAlign="justify" textVAlign="top">
            <anchor moveWithCells="false" sizeWithCells="false">
              <xdr:from>
                <xdr:col>2</xdr:col>
                <xdr:colOff>40</xdr:colOff>
                <xdr:row>5</xdr:row>
                <xdr:rowOff>0</xdr:rowOff>
              </xdr:from>
              <xdr:to>
                <xdr:col>6</xdr:col>
                <xdr:colOff>28</xdr:colOff>
                <xdr:row>8</xdr:row>
                <xdr:rowOff>16</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The Owner of the Change Set who needs to make sure that it's driven to completion</t>
        </r>
      </text>
      <mc:AlternateContent>
        <mc:Choice Requires="v2">
          <commentPr autoFill="true" autoScale="false" colHidden="false" locked="false" rowHidden="false" textHAlign="justify" textVAlign="top">
            <anchor moveWithCells="false" sizeWithCells="false">
              <xdr:from>
                <xdr:col>4</xdr:col>
                <xdr:colOff>44</xdr:colOff>
                <xdr:row>1</xdr:row>
                <xdr:rowOff>16</xdr:rowOff>
              </xdr:from>
              <xdr:to>
                <xdr:col>8</xdr:col>
                <xdr:colOff>24</xdr:colOff>
                <xdr:row>7</xdr:row>
                <xdr:rowOff>4</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An approvalRole for the Change Set</t>
        </r>
      </text>
      <mc:AlternateContent>
        <mc:Choice Requires="v2">
          <commentPr autoFill="true" autoScale="false" colHidden="false" locked="false" rowHidden="false" textHAlign="justify" textVAlign="top">
            <anchor moveWithCells="false" sizeWithCells="false">
              <xdr:from>
                <xdr:col>8</xdr:col>
                <xdr:colOff>68</xdr:colOff>
                <xdr:row>3</xdr:row>
                <xdr:rowOff>8</xdr:rowOff>
              </xdr:from>
              <xdr:to>
                <xdr:col>9</xdr:col>
                <xdr:colOff>76</xdr:colOff>
                <xdr:row>6</xdr:row>
                <xdr:rowOff>8</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An approvalWorkFlow for the Change Set
</t>
        </r>
        <r>
          <rPr>
            <b val="true"/>
            <sz val="9"/>
            <color rgb="FF000000"/>
            <rFont val="Tahoma"/>
            <family val="2"/>
            <charset val="1"/>
          </rPr>
          <t xml:space="preserve">54643: Master Data Loader does not support upload of Change Sets with the Approval Workflow set</t>
        </r>
      </text>
      <mc:AlternateContent>
        <mc:Choice Requires="v2">
          <commentPr autoFill="true" autoScale="false" colHidden="false" locked="false" rowHidden="false" textHAlign="justify" textVAlign="top">
            <anchor moveWithCells="false" sizeWithCells="false">
              <xdr:from>
                <xdr:col>3</xdr:col>
                <xdr:colOff>32</xdr:colOff>
                <xdr:row>3</xdr:row>
                <xdr:rowOff>16</xdr:rowOff>
              </xdr:from>
              <xdr:to>
                <xdr:col>7</xdr:col>
                <xdr:colOff>36</xdr:colOff>
                <xdr:row>9</xdr:row>
                <xdr:rowOff>8</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Yes = the Change Set Items become effective when the Change Set is approved.</t>
        </r>
      </text>
      <mc:AlternateContent>
        <mc:Choice Requires="v2">
          <commentPr autoFill="true" autoScale="false" colHidden="false" locked="false" rowHidden="false" textHAlign="justify" textVAlign="top">
            <anchor moveWithCells="false" sizeWithCells="false">
              <xdr:from>
                <xdr:col>9</xdr:col>
                <xdr:colOff>40</xdr:colOff>
                <xdr:row>2</xdr:row>
                <xdr:rowOff>12</xdr:rowOff>
              </xdr:from>
              <xdr:to>
                <xdr:col>10</xdr:col>
                <xdr:colOff>52</xdr:colOff>
                <xdr:row>6</xdr:row>
                <xdr:rowOff>16</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Define Object Folder Path in the MasterData Loader: Import XML object path</t>
        </r>
      </text>
      <mc:AlternateContent>
        <mc:Choice Requires="v2">
          <commentPr autoFill="true" autoScale="false" colHidden="false" locked="false" rowHidden="false" textHAlign="justify" textVAlign="top">
            <anchor moveWithCells="false" sizeWithCells="false">
              <xdr:from>
                <xdr:col>1</xdr:col>
                <xdr:colOff>48</xdr:colOff>
                <xdr:row>4</xdr:row>
                <xdr:rowOff>4</xdr:rowOff>
              </xdr:from>
              <xdr:to>
                <xdr:col>5</xdr:col>
                <xdr:colOff>69</xdr:colOff>
                <xdr:row>7</xdr:row>
                <xdr:rowOff>19</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For versioned objects only
</t>
        </r>
      </text>
      <mc:AlternateContent>
        <mc:Choice Requires="v2">
          <commentPr autoFill="true" autoScale="false" colHidden="false" locked="false" rowHidden="false" textHAlign="justify" textVAlign="top">
            <anchor moveWithCells="false" sizeWithCells="false">
              <xdr:from>
                <xdr:col>0</xdr:col>
                <xdr:colOff>100</xdr:colOff>
                <xdr:row>2</xdr:row>
                <xdr:rowOff>16</xdr:rowOff>
              </xdr:from>
              <xdr:to>
                <xdr:col>2</xdr:col>
                <xdr:colOff>60</xdr:colOff>
                <xdr:row>5</xdr:row>
                <xdr:rowOff>19</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C1" authorId="0">
      <text>
        <r>
          <rPr>
            <sz val="10"/>
            <rFont val="Arial"/>
            <family val="2"/>
          </rPr>
          <t xml:space="preserve">Value Must belong to:
</t>
        </r>
        <r>
          <rPr>
            <sz val="9"/>
            <color rgb="FF000000"/>
            <rFont val="Tahoma"/>
            <family val="2"/>
            <charset val="1"/>
          </rPr>
          <t xml:space="preserve">LookupTable SortRuleSetType</t>
        </r>
      </text>
      <mc:AlternateContent>
        <mc:Choice Requires="v2">
          <commentPr autoFill="true" autoScale="false" colHidden="false" locked="false" rowHidden="false" textHAlign="justify" textVAlign="top">
            <anchor moveWithCells="false" sizeWithCells="false">
              <xdr:from>
                <xdr:col>3</xdr:col>
                <xdr:colOff>20</xdr:colOff>
                <xdr:row>0</xdr:row>
                <xdr:rowOff>0</xdr:rowOff>
              </xdr:from>
              <xdr:to>
                <xdr:col>5</xdr:col>
                <xdr:colOff>56</xdr:colOff>
                <xdr:row>3</xdr:row>
                <xdr:rowOff>4</xdr:rowOff>
              </xdr:to>
            </anchor>
          </commentPr>
        </mc:Choice>
        <mc:Fallback/>
      </mc:AlternateContent>
    </comment>
    <comment ref="E1" authorId="0">
      <text>
        <r>
          <rPr>
            <sz val="10"/>
            <rFont val="Arial"/>
            <family val="2"/>
          </rPr>
          <t xml:space="preserve">Possible Values:
</t>
        </r>
        <r>
          <rPr>
            <sz val="9"/>
            <color rgb="FF000000"/>
            <rFont val="Tahoma"/>
            <family val="2"/>
            <charset val="1"/>
          </rPr>
          <t xml:space="preserve">
 - Resource: for Get Material List For Resource and Get Material List for Step
 - Material: for Get Resource List For Material / For Picking Stategy and Picking Sequece</t>
        </r>
      </text>
      <mc:AlternateContent>
        <mc:Choice Requires="v2">
          <commentPr autoFill="true" autoScale="false" colHidden="false" locked="false" rowHidden="false" textHAlign="justify" textVAlign="top">
            <anchor moveWithCells="false" sizeWithCells="false">
              <xdr:from>
                <xdr:col>0</xdr:col>
                <xdr:colOff>36</xdr:colOff>
                <xdr:row>4</xdr:row>
                <xdr:rowOff>0</xdr:rowOff>
              </xdr:from>
              <xdr:to>
                <xdr:col>5</xdr:col>
                <xdr:colOff>24</xdr:colOff>
                <xdr:row>7</xdr:row>
                <xdr:rowOff>20</xdr:rowOff>
              </xdr:to>
            </anchor>
          </commentPr>
        </mc:Choice>
        <mc:Fallback/>
      </mc:AlternateContent>
    </comment>
    <comment ref="F1" authorId="0">
      <text>
        <r>
          <rPr>
            <sz val="10"/>
            <rFont val="Arial"/>
            <family val="2"/>
          </rPr>
          <t xml:space="preserve">Syntax:
</t>
        </r>
        <r>
          <rPr>
            <sz val="9"/>
            <color rgb="FF000000"/>
            <rFont val="Tahoma"/>
            <family val="2"/>
            <charset val="1"/>
          </rPr>
          <t xml:space="preserve">
Each rule is delimited by a semi-colon ';', the sequence is the order in which it appears, starting with 1 and the format is Name[SortRuleName] Direction[Ascending] (Direction can be 'Ascending' or 'Descending')
</t>
        </r>
        <r>
          <rPr>
            <u val="single"/>
            <sz val="9"/>
            <color rgb="FF000000"/>
            <rFont val="Tahoma"/>
            <family val="2"/>
            <charset val="1"/>
          </rPr>
          <t xml:space="preserve">
Rule for Scope Material:
</t>
        </r>
        <r>
          <rPr>
            <sz val="9"/>
            <color rgb="FF000000"/>
            <rFont val="Tahoma"/>
            <family val="2"/>
            <charset val="1"/>
          </rPr>
          <t xml:space="preserve">DateEnteredFacility
DateEnteredStep
MaterialCreationDate
MaterialDueDate
MaterialExpirationDate
MaterialPriority
MaterialRemainingFloorLife
MaterialRemainingLife
MaterialResource
MaterialStorageBin
</t>
        </r>
        <r>
          <rPr>
            <u val="single"/>
            <sz val="9"/>
            <color rgb="FF000000"/>
            <rFont val="Tahoma"/>
            <family val="2"/>
            <charset val="1"/>
          </rPr>
          <t xml:space="preserve">Rule for Scope Resource:
</t>
        </r>
        <r>
          <rPr>
            <sz val="9"/>
            <color rgb="FF000000"/>
            <rFont val="Tahoma"/>
            <family val="2"/>
            <charset val="1"/>
          </rPr>
          <t xml:space="preserve">ResourceDispatchableDate
ResourceDispatchedMaterialsCount
ResourceFreeCapacity
ResourceMaterialsCount
ResourcePriority
ResourceProcessingDate
ResourceServicePriority</t>
        </r>
      </text>
      <mc:AlternateContent>
        <mc:Choice Requires="v2">
          <commentPr autoFill="true" autoScale="false" colHidden="false" locked="false" rowHidden="false" textHAlign="justify" textVAlign="top">
            <anchor moveWithCells="false" sizeWithCells="false">
              <xdr:from>
                <xdr:col>0</xdr:col>
                <xdr:colOff>152</xdr:colOff>
                <xdr:row>6</xdr:row>
                <xdr:rowOff>4</xdr:rowOff>
              </xdr:from>
              <xdr:to>
                <xdr:col>5</xdr:col>
                <xdr:colOff>144</xdr:colOff>
                <xdr:row>34</xdr:row>
                <xdr:rowOff>16</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Luís Pinho</author>
    <author>Manuel Maria Brandão</author>
  </authors>
  <commentList>
    <comment ref="D1" authorId="2">
      <text>
        <r>
          <rPr>
            <sz val="10"/>
            <rFont val="Arial"/>
            <family val="2"/>
          </rPr>
          <t xml:space="preserve">Value Must belong to:
</t>
        </r>
        <r>
          <rPr>
            <sz val="9"/>
            <color rgb="FF000000"/>
            <rFont val="Tahoma"/>
            <family val="2"/>
            <charset val="1"/>
          </rPr>
          <t xml:space="preserve">LookupTable DocumentType</t>
        </r>
      </text>
      <mc:AlternateContent>
        <mc:Choice Requires="v2">
          <commentPr autoFill="true" autoScale="false" colHidden="false" locked="false" rowHidden="false" textHAlign="justify" textVAlign="top">
            <anchor moveWithCells="false" sizeWithCells="false">
              <xdr:from>
                <xdr:col>3</xdr:col>
                <xdr:colOff>24</xdr:colOff>
                <xdr:row>3</xdr:row>
                <xdr:rowOff>12</xdr:rowOff>
              </xdr:from>
              <xdr:to>
                <xdr:col>5</xdr:col>
                <xdr:colOff>60</xdr:colOff>
                <xdr:row>6</xdr:row>
                <xdr:rowOff>16</xdr:rowOff>
              </xdr:to>
            </anchor>
          </commentPr>
        </mc:Choice>
        <mc:Fallback/>
      </mc:AlternateContent>
    </comment>
    <comment ref="F1" authorId="1">
      <text>
        <r>
          <rPr>
            <sz val="10"/>
            <rFont val="Arial"/>
            <family val="2"/>
          </rPr>
          <t xml:space="preserve">Internal - content of document is store
External - a simple link
</t>
        </r>
      </text>
      <mc:AlternateContent>
        <mc:Choice Requires="v2">
          <commentPr autoFill="true" autoScale="false" colHidden="false" locked="false" rowHidden="false" textHAlign="justify" textVAlign="top">
            <anchor moveWithCells="false" sizeWithCells="false">
              <xdr:from>
                <xdr:col>3</xdr:col>
                <xdr:colOff>52</xdr:colOff>
                <xdr:row>5</xdr:row>
                <xdr:rowOff>16</xdr:rowOff>
              </xdr:from>
              <xdr:to>
                <xdr:col>5</xdr:col>
                <xdr:colOff>128</xdr:colOff>
                <xdr:row>7</xdr:row>
                <xdr:rowOff>16</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For Internal Document.
Define Document Folder Path in the MasterData Loader: Document files base path</t>
        </r>
      </text>
      <mc:AlternateContent>
        <mc:Choice Requires="v2">
          <commentPr autoFill="true" autoScale="false" colHidden="false" locked="false" rowHidden="false" textHAlign="justify" textVAlign="top">
            <anchor moveWithCells="false" sizeWithCells="false">
              <xdr:from>
                <xdr:col>7</xdr:col>
                <xdr:colOff>24</xdr:colOff>
                <xdr:row>0</xdr:row>
                <xdr:rowOff>0</xdr:rowOff>
              </xdr:from>
              <xdr:to>
                <xdr:col>10</xdr:col>
                <xdr:colOff>56</xdr:colOff>
                <xdr:row>3</xdr:row>
                <xdr:rowOff>20</xdr:rowOff>
              </xdr:to>
            </anchor>
          </commentPr>
        </mc:Choice>
        <mc:Fallback/>
      </mc:AlternateContent>
    </comment>
    <comment ref="H1" authorId="0">
      <text>
        <r>
          <rPr>
            <sz val="10"/>
            <rFont val="Arial"/>
            <family val="2"/>
          </rPr>
          <t xml:space="preserve">Name in the MES system. If not defined, then it keeps the document's name
</t>
        </r>
      </text>
      <mc:AlternateContent>
        <mc:Choice Requires="v2">
          <commentPr autoFill="true" autoScale="false" colHidden="false" locked="false" rowHidden="false" textHAlign="justify" textVAlign="top">
            <anchor moveWithCells="false" sizeWithCells="false">
              <xdr:from>
                <xdr:col>6</xdr:col>
                <xdr:colOff>60</xdr:colOff>
                <xdr:row>4</xdr:row>
                <xdr:rowOff>0</xdr:rowOff>
              </xdr:from>
              <xdr:to>
                <xdr:col>7</xdr:col>
                <xdr:colOff>132</xdr:colOff>
                <xdr:row>6</xdr:row>
                <xdr:rowOff>4</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For External Document. Specify the URL of the external Document</t>
        </r>
      </text>
      <mc:AlternateContent>
        <mc:Choice Requires="v2">
          <commentPr autoFill="true" autoScale="false" colHidden="false" locked="false" rowHidden="false" textHAlign="justify" textVAlign="top">
            <anchor moveWithCells="false" sizeWithCells="false">
              <xdr:from>
                <xdr:col>7</xdr:col>
                <xdr:colOff>152</xdr:colOff>
                <xdr:row>7</xdr:row>
                <xdr:rowOff>0</xdr:rowOff>
              </xdr:from>
              <xdr:to>
                <xdr:col>10</xdr:col>
                <xdr:colOff>16</xdr:colOff>
                <xdr:row>10</xdr:row>
                <xdr:rowOff>8</xdr:rowOff>
              </xdr:to>
            </anchor>
          </commentPr>
        </mc:Choice>
        <mc:Fallback/>
      </mc:AlternateContent>
    </comment>
    <comment ref="K1" authorId="1">
      <text>
        <r>
          <rPr>
            <sz val="10"/>
            <rFont val="Arial"/>
            <family val="2"/>
          </rPr>
          <t xml:space="preserve">Folder where the Document will be located
(This is not a physical folder from the OS, its a cmNavigo folder object)
</t>
        </r>
      </text>
      <mc:AlternateContent>
        <mc:Choice Requires="v2">
          <commentPr autoFill="true" autoScale="false" colHidden="false" locked="false" rowHidden="false" textHAlign="justify" textVAlign="top">
            <anchor moveWithCells="false" sizeWithCells="false">
              <xdr:from>
                <xdr:col>7</xdr:col>
                <xdr:colOff>36</xdr:colOff>
                <xdr:row>3</xdr:row>
                <xdr:rowOff>8</xdr:rowOff>
              </xdr:from>
              <xdr:to>
                <xdr:col>9</xdr:col>
                <xdr:colOff>108</xdr:colOff>
                <xdr:row>7</xdr:row>
                <xdr:rowOff>4</xdr:rowOff>
              </xdr:to>
            </anchor>
          </commentPr>
        </mc:Choice>
        <mc:Fallback/>
      </mc:AlternateContent>
    </comment>
    <comment ref="M1" authorId="2">
      <text>
        <r>
          <rPr>
            <sz val="10"/>
            <rFont val="Arial"/>
            <family val="2"/>
          </rPr>
          <t xml:space="preserve">Value Must belong to:
</t>
        </r>
        <r>
          <rPr>
            <sz val="9"/>
            <color rgb="FF000000"/>
            <rFont val="Tahoma"/>
            <family val="2"/>
            <charset val="1"/>
          </rPr>
          <t xml:space="preserve">LookupTable DocumentGroup</t>
        </r>
      </text>
      <mc:AlternateContent>
        <mc:Choice Requires="v2">
          <commentPr autoFill="true" autoScale="false" colHidden="false" locked="false" rowHidden="false" textHAlign="justify" textVAlign="top">
            <anchor moveWithCells="false" sizeWithCells="false">
              <xdr:from>
                <xdr:col>7</xdr:col>
                <xdr:colOff>152</xdr:colOff>
                <xdr:row>3</xdr:row>
                <xdr:rowOff>0</xdr:rowOff>
              </xdr:from>
              <xdr:to>
                <xdr:col>9</xdr:col>
                <xdr:colOff>84</xdr:colOff>
                <xdr:row>5</xdr:row>
                <xdr:rowOff>12</xdr:rowOff>
              </xdr:to>
            </anchor>
          </commentPr>
        </mc:Choice>
        <mc:Fallback/>
      </mc:AlternateContent>
    </comment>
    <comment ref="Q1" authorId="1">
      <text>
        <r>
          <rPr>
            <sz val="10"/>
            <rFont val="Arial"/>
            <family val="2"/>
          </rPr>
          <t xml:space="preserve">Comma separated values</t>
        </r>
      </text>
      <mc:AlternateContent>
        <mc:Choice Requires="v2">
          <commentPr autoFill="true" autoScale="false" colHidden="false" locked="false" rowHidden="false" textHAlign="justify" textVAlign="top">
            <anchor moveWithCells="false" sizeWithCells="false">
              <xdr:from>
                <xdr:col>12</xdr:col>
                <xdr:colOff>48</xdr:colOff>
                <xdr:row>4</xdr:row>
                <xdr:rowOff>8</xdr:rowOff>
              </xdr:from>
              <xdr:to>
                <xdr:col>14</xdr:col>
                <xdr:colOff>16</xdr:colOff>
                <xdr:row>5</xdr:row>
                <xdr:rowOff>12</xdr:rowOff>
              </xdr:to>
            </anchor>
          </commentPr>
        </mc:Choice>
        <mc:Fallback/>
      </mc:AlternateContent>
    </comment>
    <comment ref="R1" authorId="1">
      <text>
        <r>
          <rPr>
            <sz val="10"/>
            <rFont val="Arial"/>
            <family val="2"/>
          </rPr>
          <t xml:space="preserve">Comma separated values</t>
        </r>
      </text>
      <mc:AlternateContent>
        <mc:Choice Requires="v2">
          <commentPr autoFill="true" autoScale="false" colHidden="false" locked="false" rowHidden="false" textHAlign="justify" textVAlign="top">
            <anchor moveWithCells="false" sizeWithCells="false">
              <xdr:from>
                <xdr:col>14</xdr:col>
                <xdr:colOff>72</xdr:colOff>
                <xdr:row>2</xdr:row>
                <xdr:rowOff>16</xdr:rowOff>
              </xdr:from>
              <xdr:to>
                <xdr:col>16</xdr:col>
                <xdr:colOff>80</xdr:colOff>
                <xdr:row>4</xdr:row>
                <xdr:rowOff>8</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If set as true, an explicit signature will be required when the user is marking a Document version as read and understood</t>
        </r>
      </text>
      <mc:AlternateContent>
        <mc:Choice Requires="v2">
          <commentPr autoFill="true" autoScale="false" colHidden="false" locked="false" rowHidden="false" textHAlign="justify" textVAlign="top">
            <anchor moveWithCells="false" sizeWithCells="false">
              <xdr:from>
                <xdr:col>16</xdr:col>
                <xdr:colOff>168</xdr:colOff>
                <xdr:row>1</xdr:row>
                <xdr:rowOff>16</xdr:rowOff>
              </xdr:from>
              <xdr:to>
                <xdr:col>18</xdr:col>
                <xdr:colOff>56</xdr:colOff>
                <xdr:row>5</xdr:row>
                <xdr:rowOff>12</xdr:rowOff>
              </xdr:to>
            </anchor>
          </commentPr>
        </mc:Choice>
        <mc:Fallback/>
      </mc:AlternateContent>
    </comment>
    <comment ref="T1" authorId="0">
      <text>
        <r>
          <rPr>
            <sz val="10"/>
            <rFont val="Arial"/>
            <family val="2"/>
          </rPr>
          <t xml:space="preserve">José Romeu Gonçalves:
</t>
        </r>
        <r>
          <rPr>
            <sz val="9"/>
            <color rgb="FF000000"/>
            <rFont val="Tahoma"/>
            <family val="2"/>
            <charset val="1"/>
          </rPr>
          <t xml:space="preserve">
Defines if a document once acknowledged for reading and understanding needs to be acknowledged again after a certain number of days</t>
        </r>
      </text>
      <mc:AlternateContent>
        <mc:Choice Requires="v2">
          <commentPr autoFill="true" autoScale="false" colHidden="false" locked="false" rowHidden="false" textHAlign="justify" textVAlign="top">
            <anchor moveWithCells="false" sizeWithCells="false">
              <xdr:from>
                <xdr:col>18</xdr:col>
                <xdr:colOff>152</xdr:colOff>
                <xdr:row>5</xdr:row>
                <xdr:rowOff>8</xdr:rowOff>
              </xdr:from>
              <xdr:to>
                <xdr:col>19</xdr:col>
                <xdr:colOff>180</xdr:colOff>
                <xdr:row>9</xdr:row>
                <xdr:rowOff>16</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A1" authorId="0">
      <text>
        <r>
          <rPr>
            <sz val="10"/>
            <rFont val="Arial"/>
            <family val="2"/>
          </rPr>
          <t xml:space="preserve">Defines the different Qualification Proficiency values as well as the ranking. The ranking is defined from an ascending order and it also measures the distance when looking for the closest Employee to meet a certain Certification.</t>
        </r>
      </text>
      <mc:AlternateContent>
        <mc:Choice Requires="v2">
          <commentPr autoFill="true" autoScale="false" colHidden="false" locked="false" rowHidden="false" textHAlign="justify" textVAlign="top">
            <anchor moveWithCells="false" sizeWithCells="false">
              <xdr:from>
                <xdr:col>0</xdr:col>
                <xdr:colOff>8</xdr:colOff>
                <xdr:row>7</xdr:row>
                <xdr:rowOff>16</xdr:rowOff>
              </xdr:from>
              <xdr:to>
                <xdr:col>4</xdr:col>
                <xdr:colOff>16</xdr:colOff>
                <xdr:row>12</xdr:row>
                <xdr:rowOff>4</xdr:rowOff>
              </xdr:to>
            </anchor>
          </commentPr>
        </mc:Choice>
        <mc:Fallback/>
      </mc:AlternateContent>
    </comment>
  </commentList>
</comments>
</file>

<file path=xl/comments3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QualificarionType</t>
        </r>
      </text>
      <mc:AlternateContent>
        <mc:Choice Requires="v2">
          <commentPr autoFill="true" autoScale="false" colHidden="false" locked="false" rowHidden="false" textHAlign="justify" textVAlign="top">
            <anchor moveWithCells="false" sizeWithCells="false">
              <xdr:from>
                <xdr:col>2</xdr:col>
                <xdr:colOff>12</xdr:colOff>
                <xdr:row>4</xdr:row>
                <xdr:rowOff>16</xdr:rowOff>
              </xdr:from>
              <xdr:to>
                <xdr:col>4</xdr:col>
                <xdr:colOff>76</xdr:colOff>
                <xdr:row>7</xdr:row>
                <xdr:rowOff>8</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Users from the owner role will administer this qualification
</t>
        </r>
      </text>
      <mc:AlternateContent>
        <mc:Choice Requires="v2">
          <commentPr autoFill="true" autoScale="false" colHidden="false" locked="false" rowHidden="false" textHAlign="justify" textVAlign="top">
            <anchor moveWithCells="false" sizeWithCells="false">
              <xdr:from>
                <xdr:col>2</xdr:col>
                <xdr:colOff>36</xdr:colOff>
                <xdr:row>2</xdr:row>
                <xdr:rowOff>0</xdr:rowOff>
              </xdr:from>
              <xdr:to>
                <xdr:col>5</xdr:col>
                <xdr:colOff>20</xdr:colOff>
                <xdr:row>5</xdr:row>
                <xdr:rowOff>20</xdr:rowOff>
              </xdr:to>
            </anchor>
          </commentPr>
        </mc:Choice>
        <mc:Fallback/>
      </mc:AlternateContent>
    </comment>
    <comment ref="F1" authorId="0">
      <text>
        <r>
          <rPr>
            <sz val="10"/>
            <rFont val="Arial"/>
            <family val="2"/>
          </rPr>
          <t xml:space="preserve">A value from QualificationReason lookup table
</t>
        </r>
      </text>
      <mc:AlternateContent>
        <mc:Choice Requires="v2">
          <commentPr autoFill="true" autoScale="false" colHidden="false" locked="false" rowHidden="false" textHAlign="justify" textVAlign="top">
            <anchor moveWithCells="false" sizeWithCells="false">
              <xdr:from>
                <xdr:col>3</xdr:col>
                <xdr:colOff>56</xdr:colOff>
                <xdr:row>3</xdr:row>
                <xdr:rowOff>4</xdr:rowOff>
              </xdr:from>
              <xdr:to>
                <xdr:col>5</xdr:col>
                <xdr:colOff>88</xdr:colOff>
                <xdr:row>5</xdr:row>
                <xdr:rowOff>12</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Documentation URL with information about the Qualification</t>
        </r>
      </text>
      <mc:AlternateContent>
        <mc:Choice Requires="v2">
          <commentPr autoFill="true" autoScale="false" colHidden="false" locked="false" rowHidden="false" textHAlign="justify" textVAlign="top">
            <anchor moveWithCells="false" sizeWithCells="false">
              <xdr:from>
                <xdr:col>5</xdr:col>
                <xdr:colOff>100</xdr:colOff>
                <xdr:row>1</xdr:row>
                <xdr:rowOff>12</xdr:rowOff>
              </xdr:from>
              <xdr:to>
                <xdr:col>6</xdr:col>
                <xdr:colOff>120</xdr:colOff>
                <xdr:row>5</xdr:row>
                <xdr:rowOff>4</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Whether the own user can assign himself the Qualification</t>
        </r>
      </text>
      <mc:AlternateContent>
        <mc:Choice Requires="v2">
          <commentPr autoFill="true" autoScale="false" colHidden="false" locked="false" rowHidden="false" textHAlign="justify" textVAlign="top">
            <anchor moveWithCells="false" sizeWithCells="false">
              <xdr:from>
                <xdr:col>6</xdr:col>
                <xdr:colOff>20</xdr:colOff>
                <xdr:row>2</xdr:row>
                <xdr:rowOff>0</xdr:rowOff>
              </xdr:from>
              <xdr:to>
                <xdr:col>7</xdr:col>
                <xdr:colOff>76</xdr:colOff>
                <xdr:row>5</xdr:row>
                <xdr:rowOff>20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Whether the manager of a given user can assign the Qualification
</t>
        </r>
      </text>
      <mc:AlternateContent>
        <mc:Choice Requires="v2">
          <commentPr autoFill="true" autoScale="false" colHidden="false" locked="false" rowHidden="false" textHAlign="justify" textVAlign="top">
            <anchor moveWithCells="false" sizeWithCells="false">
              <xdr:from>
                <xdr:col>6</xdr:col>
                <xdr:colOff>44</xdr:colOff>
                <xdr:row>3</xdr:row>
                <xdr:rowOff>16</xdr:rowOff>
              </xdr:from>
              <xdr:to>
                <xdr:col>7</xdr:col>
                <xdr:colOff>124</xdr:colOff>
                <xdr:row>7</xdr:row>
                <xdr:rowOff>4</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Whether it's possible to override the default validity.  if defined. This is only applicable to the Owner Role.</t>
        </r>
      </text>
      <mc:AlternateContent>
        <mc:Choice Requires="v2">
          <commentPr autoFill="true" autoScale="false" colHidden="false" locked="false" rowHidden="false" textHAlign="justify" textVAlign="top">
            <anchor moveWithCells="false" sizeWithCells="false">
              <xdr:from>
                <xdr:col>8</xdr:col>
                <xdr:colOff>148</xdr:colOff>
                <xdr:row>4</xdr:row>
                <xdr:rowOff>4</xdr:rowOff>
              </xdr:from>
              <xdr:to>
                <xdr:col>10</xdr:col>
                <xdr:colOff>88</xdr:colOff>
                <xdr:row>8</xdr:row>
                <xdr:rowOff>16</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In case the certification has expired, the user will still be able to hold this qualification for some time: Hours, Days, Weeks, Months, Years.</t>
        </r>
      </text>
      <mc:AlternateContent>
        <mc:Choice Requires="v2">
          <commentPr autoFill="true" autoScale="false" colHidden="false" locked="false" rowHidden="false" textHAlign="justify" textVAlign="top">
            <anchor moveWithCells="false" sizeWithCells="false">
              <xdr:from>
                <xdr:col>10</xdr:col>
                <xdr:colOff>68</xdr:colOff>
                <xdr:row>4</xdr:row>
                <xdr:rowOff>4</xdr:rowOff>
              </xdr:from>
              <xdr:to>
                <xdr:col>12</xdr:col>
                <xdr:colOff>88</xdr:colOff>
                <xdr:row>8</xdr:row>
                <xdr:rowOff>20</xdr:rowOff>
              </xdr:to>
            </anchor>
          </commentPr>
        </mc:Choice>
        <mc:Fallback/>
      </mc:AlternateContent>
    </comment>
  </commentList>
</comments>
</file>

<file path=xl/comments3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CertificationnType</t>
        </r>
      </text>
      <mc:AlternateContent>
        <mc:Choice Requires="v2">
          <commentPr autoFill="true" autoScale="false" colHidden="false" locked="false" rowHidden="false" textHAlign="justify" textVAlign="top">
            <anchor moveWithCells="false" sizeWithCells="false">
              <xdr:from>
                <xdr:col>1</xdr:col>
                <xdr:colOff>24</xdr:colOff>
                <xdr:row>2</xdr:row>
                <xdr:rowOff>8</xdr:rowOff>
              </xdr:from>
              <xdr:to>
                <xdr:col>4</xdr:col>
                <xdr:colOff>28</xdr:colOff>
                <xdr:row>4</xdr:row>
                <xdr:rowOff>20</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Users from the owner role will administer this Certification. Only user from this role can assign certifications to employees
</t>
        </r>
      </text>
      <mc:AlternateContent>
        <mc:Choice Requires="v2">
          <commentPr autoFill="true" autoScale="false" colHidden="false" locked="false" rowHidden="false" textHAlign="justify" textVAlign="top">
            <anchor moveWithCells="false" sizeWithCells="false">
              <xdr:from>
                <xdr:col>4</xdr:col>
                <xdr:colOff>76</xdr:colOff>
                <xdr:row>0</xdr:row>
                <xdr:rowOff>0</xdr:rowOff>
              </xdr:from>
              <xdr:to>
                <xdr:col>8</xdr:col>
                <xdr:colOff>24</xdr:colOff>
                <xdr:row>3</xdr:row>
                <xdr:rowOff>20</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Optional.  A link with more information on the Certification</t>
        </r>
      </text>
      <mc:AlternateContent>
        <mc:Choice Requires="v2">
          <commentPr autoFill="true" autoScale="false" colHidden="false" locked="false" rowHidden="false" textHAlign="justify" textVAlign="top">
            <anchor moveWithCells="false" sizeWithCells="false">
              <xdr:from>
                <xdr:col>4</xdr:col>
                <xdr:colOff>68</xdr:colOff>
                <xdr:row>3</xdr:row>
                <xdr:rowOff>4</xdr:rowOff>
              </xdr:from>
              <xdr:to>
                <xdr:col>7</xdr:col>
                <xdr:colOff>12</xdr:colOff>
                <xdr:row>6</xdr:row>
                <xdr:rowOff>16</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Optional. 
A distribution list to be notified of Certification changes (when a User is granted the Certification or when it is revoked)</t>
        </r>
      </text>
      <mc:AlternateContent>
        <mc:Choice Requires="v2">
          <commentPr autoFill="true" autoScale="false" colHidden="false" locked="false" rowHidden="false" textHAlign="justify" textVAlign="top">
            <anchor moveWithCells="false" sizeWithCells="false">
              <xdr:from>
                <xdr:col>5</xdr:col>
                <xdr:colOff>76</xdr:colOff>
                <xdr:row>0</xdr:row>
                <xdr:rowOff>0</xdr:rowOff>
              </xdr:from>
              <xdr:to>
                <xdr:col>9</xdr:col>
                <xdr:colOff>32</xdr:colOff>
                <xdr:row>4</xdr:row>
                <xdr:rowOff>12</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Whether a notification email is sent to the distribution list whenever there is a change to the certification</t>
        </r>
      </text>
      <mc:AlternateContent>
        <mc:Choice Requires="v2">
          <commentPr autoFill="true" autoScale="false" colHidden="false" locked="false" rowHidden="false" textHAlign="justify" textVAlign="top">
            <anchor moveWithCells="false" sizeWithCells="false">
              <xdr:from>
                <xdr:col>6</xdr:col>
                <xdr:colOff>84</xdr:colOff>
                <xdr:row>0</xdr:row>
                <xdr:rowOff>0</xdr:rowOff>
              </xdr:from>
              <xdr:to>
                <xdr:col>9</xdr:col>
                <xdr:colOff>141</xdr:colOff>
                <xdr:row>3</xdr:row>
                <xdr:rowOff>16</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Whether users will be notified about required certifications
</t>
        </r>
      </text>
      <mc:AlternateContent>
        <mc:Choice Requires="v2">
          <commentPr autoFill="true" autoScale="false" colHidden="false" locked="false" rowHidden="false" textHAlign="justify" textVAlign="top">
            <anchor moveWithCells="false" sizeWithCells="false">
              <xdr:from>
                <xdr:col>5</xdr:col>
                <xdr:colOff>52</xdr:colOff>
                <xdr:row>6</xdr:row>
                <xdr:rowOff>4</xdr:rowOff>
              </xdr:from>
              <xdr:to>
                <xdr:col>7</xdr:col>
                <xdr:colOff>28</xdr:colOff>
                <xdr:row>9</xdr:row>
                <xdr:rowOff>20</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Whether it’s possible to manually, grant and revoke Certifications to Employees, especially if they have not yet acquired all the necessary qualifications with the required proficiency.</t>
        </r>
      </text>
      <mc:AlternateContent>
        <mc:Choice Requires="v2">
          <commentPr autoFill="true" autoScale="false" colHidden="false" locked="false" rowHidden="false" textHAlign="justify" textVAlign="top">
            <anchor moveWithCells="false" sizeWithCells="false">
              <xdr:from>
                <xdr:col>5</xdr:col>
                <xdr:colOff>84</xdr:colOff>
                <xdr:row>3</xdr:row>
                <xdr:rowOff>12</xdr:rowOff>
              </xdr:from>
              <xdr:to>
                <xdr:col>9</xdr:col>
                <xdr:colOff>52</xdr:colOff>
                <xdr:row>7</xdr:row>
                <xdr:rowOff>20</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Whether the own user can grant himself the certification</t>
        </r>
      </text>
      <mc:AlternateContent>
        <mc:Choice Requires="v2">
          <commentPr autoFill="true" autoScale="false" colHidden="false" locked="false" rowHidden="false" textHAlign="justify" textVAlign="top">
            <anchor moveWithCells="false" sizeWithCells="false">
              <xdr:from>
                <xdr:col>7</xdr:col>
                <xdr:colOff>68</xdr:colOff>
                <xdr:row>2</xdr:row>
                <xdr:rowOff>16</xdr:rowOff>
              </xdr:from>
              <xdr:to>
                <xdr:col>9</xdr:col>
                <xdr:colOff>68</xdr:colOff>
                <xdr:row>5</xdr:row>
                <xdr:rowOff>20</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Whether the manager of a given user can grant the certification</t>
        </r>
      </text>
      <mc:AlternateContent>
        <mc:Choice Requires="v2">
          <commentPr autoFill="true" autoScale="false" colHidden="false" locked="false" rowHidden="false" textHAlign="justify" textVAlign="top">
            <anchor moveWithCells="false" sizeWithCells="false">
              <xdr:from>
                <xdr:col>9</xdr:col>
                <xdr:colOff>108</xdr:colOff>
                <xdr:row>2</xdr:row>
                <xdr:rowOff>8</xdr:rowOff>
              </xdr:from>
              <xdr:to>
                <xdr:col>11</xdr:col>
                <xdr:colOff>24</xdr:colOff>
                <xdr:row>6</xdr:row>
                <xdr:rowOff>4</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Whether it’s possible to override the default validity if defined. This is only applicable to the Owner Role.</t>
        </r>
      </text>
      <mc:AlternateContent>
        <mc:Choice Requires="v2">
          <commentPr autoFill="true" autoScale="false" colHidden="false" locked="false" rowHidden="false" textHAlign="justify" textVAlign="top">
            <anchor moveWithCells="false" sizeWithCells="false">
              <xdr:from>
                <xdr:col>12</xdr:col>
                <xdr:colOff>60</xdr:colOff>
                <xdr:row>3</xdr:row>
                <xdr:rowOff>8</xdr:rowOff>
              </xdr:from>
              <xdr:to>
                <xdr:col>14</xdr:col>
                <xdr:colOff>140</xdr:colOff>
                <xdr:row>6</xdr:row>
                <xdr:rowOff>16</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Defines that when granting or acquiring this Certification, the Employee must be considered as a trainee</t>
        </r>
      </text>
      <mc:AlternateContent>
        <mc:Choice Requires="v2">
          <commentPr autoFill="true" autoScale="false" colHidden="false" locked="false" rowHidden="false" textHAlign="justify" textVAlign="top">
            <anchor moveWithCells="false" sizeWithCells="false">
              <xdr:from>
                <xdr:col>15</xdr:col>
                <xdr:colOff>96</xdr:colOff>
                <xdr:row>0</xdr:row>
                <xdr:rowOff>0</xdr:rowOff>
              </xdr:from>
              <xdr:to>
                <xdr:col>16</xdr:col>
                <xdr:colOff>64</xdr:colOff>
                <xdr:row>3</xdr:row>
                <xdr:rowOff>20</xdr:rowOff>
              </xdr:to>
            </anchor>
          </commentPr>
        </mc:Choice>
        <mc:Fallback/>
      </mc:AlternateContent>
    </comment>
  </commentList>
</comments>
</file>

<file path=xl/comments3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Mani Alagumani Kaliyaperumal</author>
  </authors>
  <commentList>
    <comment ref="E1" authorId="0">
      <text>
        <r>
          <rPr>
            <sz val="10"/>
            <rFont val="Arial"/>
            <family val="2"/>
          </rPr>
          <t xml:space="preserve">If the Calendar has a fixed time (in minutes) that allows performing Clock-In operations earlier than the Day Start time</t>
        </r>
      </text>
      <mc:AlternateContent>
        <mc:Choice Requires="v2">
          <commentPr autoFill="true" autoScale="false" colHidden="false" locked="false" rowHidden="false" textHAlign="justify" textVAlign="top">
            <anchor moveWithCells="false" sizeWithCells="false">
              <xdr:from>
                <xdr:col>0</xdr:col>
                <xdr:colOff>164</xdr:colOff>
                <xdr:row>3</xdr:row>
                <xdr:rowOff>8</xdr:rowOff>
              </xdr:from>
              <xdr:to>
                <xdr:col>2</xdr:col>
                <xdr:colOff>48</xdr:colOff>
                <xdr:row>6</xdr:row>
                <xdr:rowOff>8</xdr:rowOff>
              </xdr:to>
            </anchor>
          </commentPr>
        </mc:Choice>
        <mc:Fallback/>
      </mc:AlternateContent>
    </comment>
    <comment ref="F1" authorId="1">
      <text>
        <r>
          <rPr>
            <sz val="10"/>
            <rFont val="Arial"/>
            <family val="2"/>
          </rPr>
          <t xml:space="preserve">Mani Alagumani Kaliyaperumal:
</t>
        </r>
        <r>
          <rPr>
            <sz val="9"/>
            <color rgb="FF000000"/>
            <rFont val="Tahoma"/>
            <family val="2"/>
            <charset val="1"/>
          </rPr>
          <t xml:space="preserve">A Calendar can be marked as being an Enterprise wide reporting dimension, which means that date for all areas will be consolidated at day, week, month, quarter and year level for that Calendar.</t>
        </r>
      </text>
      <mc:AlternateContent>
        <mc:Choice Requires="v2">
          <commentPr autoFill="true" autoScale="false" colHidden="false" locked="false" rowHidden="false" textHAlign="justify" textVAlign="top">
            <anchor moveWithCells="false" sizeWithCells="false">
              <xdr:from>
                <xdr:col>6</xdr:col>
                <xdr:colOff>16</xdr:colOff>
                <xdr:row>0</xdr:row>
                <xdr:rowOff>0</xdr:rowOff>
              </xdr:from>
              <xdr:to>
                <xdr:col>10</xdr:col>
                <xdr:colOff>32</xdr:colOff>
                <xdr:row>4</xdr:row>
                <xdr:rowOff>4</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In some cases, the day can start in the previous day. For example 11:00 PM</t>
        </r>
      </text>
      <mc:AlternateContent>
        <mc:Choice Requires="v2">
          <commentPr autoFill="true" autoScale="false" colHidden="false" locked="false" rowHidden="false" textHAlign="justify" textVAlign="top">
            <anchor moveWithCells="false" sizeWithCells="false">
              <xdr:from>
                <xdr:col>3</xdr:col>
                <xdr:colOff>244</xdr:colOff>
                <xdr:row>2</xdr:row>
                <xdr:rowOff>16</xdr:rowOff>
              </xdr:from>
              <xdr:to>
                <xdr:col>5</xdr:col>
                <xdr:colOff>76</xdr:colOff>
                <xdr:row>6</xdr:row>
                <xdr:rowOff>4</xdr:rowOff>
              </xdr:to>
            </anchor>
          </commentPr>
        </mc:Choice>
        <mc:Fallback/>
      </mc:AlternateContent>
    </comment>
    <comment ref="Z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22</xdr:col>
                <xdr:colOff>188</xdr:colOff>
                <xdr:row>0</xdr:row>
                <xdr:rowOff>0</xdr:rowOff>
              </xdr:from>
              <xdr:to>
                <xdr:col>23</xdr:col>
                <xdr:colOff>176</xdr:colOff>
                <xdr:row>2</xdr:row>
                <xdr:rowOff>20</xdr:rowOff>
              </xdr:to>
            </anchor>
          </commentPr>
        </mc:Choice>
        <mc:Fallback/>
      </mc:AlternateContent>
    </comment>
    <comment ref="AA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23</xdr:col>
                <xdr:colOff>140</xdr:colOff>
                <xdr:row>0</xdr:row>
                <xdr:rowOff>0</xdr:rowOff>
              </xdr:from>
              <xdr:to>
                <xdr:col>24</xdr:col>
                <xdr:colOff>124</xdr:colOff>
                <xdr:row>2</xdr:row>
                <xdr:rowOff>20</xdr:rowOff>
              </xdr:to>
            </anchor>
          </commentPr>
        </mc:Choice>
        <mc:Fallback/>
      </mc:AlternateContent>
    </comment>
    <comment ref="AB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24</xdr:col>
                <xdr:colOff>116</xdr:colOff>
                <xdr:row>0</xdr:row>
                <xdr:rowOff>0</xdr:rowOff>
              </xdr:from>
              <xdr:to>
                <xdr:col>25</xdr:col>
                <xdr:colOff>100</xdr:colOff>
                <xdr:row>2</xdr:row>
                <xdr:rowOff>20</xdr:rowOff>
              </xdr:to>
            </anchor>
          </commentPr>
        </mc:Choice>
        <mc:Fallback/>
      </mc:AlternateContent>
    </comment>
    <comment ref="AC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25</xdr:col>
                <xdr:colOff>72</xdr:colOff>
                <xdr:row>0</xdr:row>
                <xdr:rowOff>0</xdr:rowOff>
              </xdr:from>
              <xdr:to>
                <xdr:col>26</xdr:col>
                <xdr:colOff>104</xdr:colOff>
                <xdr:row>2</xdr:row>
                <xdr:rowOff>20</xdr:rowOff>
              </xdr:to>
            </anchor>
          </commentPr>
        </mc:Choice>
        <mc:Fallback/>
      </mc:AlternateContent>
    </comment>
    <comment ref="AD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26</xdr:col>
                <xdr:colOff>56</xdr:colOff>
                <xdr:row>0</xdr:row>
                <xdr:rowOff>0</xdr:rowOff>
              </xdr:from>
              <xdr:to>
                <xdr:col>27</xdr:col>
                <xdr:colOff>96</xdr:colOff>
                <xdr:row>2</xdr:row>
                <xdr:rowOff>20</xdr:rowOff>
              </xdr:to>
            </anchor>
          </commentPr>
        </mc:Choice>
        <mc:Fallback/>
      </mc:AlternateContent>
    </comment>
    <comment ref="AE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27</xdr:col>
                <xdr:colOff>60</xdr:colOff>
                <xdr:row>0</xdr:row>
                <xdr:rowOff>0</xdr:rowOff>
              </xdr:from>
              <xdr:to>
                <xdr:col>28</xdr:col>
                <xdr:colOff>76</xdr:colOff>
                <xdr:row>2</xdr:row>
                <xdr:rowOff>20</xdr:rowOff>
              </xdr:to>
            </anchor>
          </commentPr>
        </mc:Choice>
        <mc:Fallback/>
      </mc:AlternateContent>
    </comment>
    <comment ref="AF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28</xdr:col>
                <xdr:colOff>32</xdr:colOff>
                <xdr:row>0</xdr:row>
                <xdr:rowOff>0</xdr:rowOff>
              </xdr:from>
              <xdr:to>
                <xdr:col>29</xdr:col>
                <xdr:colOff>60</xdr:colOff>
                <xdr:row>2</xdr:row>
                <xdr:rowOff>20</xdr:rowOff>
              </xdr:to>
            </anchor>
          </commentPr>
        </mc:Choice>
        <mc:Fallback/>
      </mc:AlternateContent>
    </comment>
  </commentList>
</comments>
</file>

<file path=xl/comments3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Optional
Team Code that will be used to define Shift Patterns and to display the team in Shift Planning.</t>
        </r>
      </text>
      <mc:AlternateContent>
        <mc:Choice Requires="v2">
          <commentPr autoFill="true" autoScale="false" colHidden="false" locked="false" rowHidden="false" textHAlign="justify" textVAlign="top">
            <anchor moveWithCells="false" sizeWithCells="false">
              <xdr:from>
                <xdr:col>0</xdr:col>
                <xdr:colOff>236</xdr:colOff>
                <xdr:row>4</xdr:row>
                <xdr:rowOff>12</xdr:rowOff>
              </xdr:from>
              <xdr:to>
                <xdr:col>3</xdr:col>
                <xdr:colOff>96</xdr:colOff>
                <xdr:row>8</xdr:row>
                <xdr:rowOff>16</xdr:rowOff>
              </xdr:to>
            </anchor>
          </commentPr>
        </mc:Choice>
        <mc:Fallback/>
      </mc:AlternateContent>
    </comment>
  </commentList>
</comments>
</file>

<file path=xl/comments3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The Calendar on which the Shift Definition is based.</t>
        </r>
      </text>
      <mc:AlternateContent>
        <mc:Choice Requires="v2">
          <commentPr autoFill="true" autoScale="false" colHidden="false" locked="false" rowHidden="false" textHAlign="justify" textVAlign="top">
            <anchor moveWithCells="false" sizeWithCells="false">
              <xdr:from>
                <xdr:col>0</xdr:col>
                <xdr:colOff>160</xdr:colOff>
                <xdr:row>3</xdr:row>
                <xdr:rowOff>8</xdr:rowOff>
              </xdr:from>
              <xdr:to>
                <xdr:col>1</xdr:col>
                <xdr:colOff>64</xdr:colOff>
                <xdr:row>6</xdr:row>
                <xdr:rowOff>16</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The Shift Definition must have the same start time as the Calendar Day</t>
        </r>
      </text>
      <mc:AlternateContent>
        <mc:Choice Requires="v2">
          <commentPr autoFill="true" autoScale="false" colHidden="false" locked="false" rowHidden="false" textHAlign="justify" textVAlign="top">
            <anchor moveWithCells="false" sizeWithCells="false">
              <xdr:from>
                <xdr:col>0</xdr:col>
                <xdr:colOff>156</xdr:colOff>
                <xdr:row>3</xdr:row>
                <xdr:rowOff>8</xdr:rowOff>
              </xdr:from>
              <xdr:to>
                <xdr:col>1</xdr:col>
                <xdr:colOff>121</xdr:colOff>
                <xdr:row>7</xdr:row>
                <xdr:rowOff>4</xdr:rowOff>
              </xdr:to>
            </anchor>
          </commentPr>
        </mc:Choice>
        <mc:Fallback/>
      </mc:AlternateContent>
    </comment>
  </commentList>
</comments>
</file>

<file path=xl/comments3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Luís Miguel Ponte</author>
    <author>tc={0795F446-F873-4D77-ABCC-C3A640F78DF2}</author>
    <author>tc={DD4DA88D-B411-43BF-B499-1B815A06B431}</author>
  </authors>
  <commentList>
    <comment ref="C4"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3 or 1?</t>
        </r>
      </text>
      <mc:AlternateContent>
        <mc:Choice Requires="v2">
          <commentPr autoFill="true" autoScale="false" colHidden="false" locked="false" rowHidden="false" textHAlign="justify" textVAlign="top">
            <anchor moveWithCells="false" sizeWithCells="false">
              <xdr:from>
                <xdr:col>1</xdr:col>
                <xdr:colOff>172</xdr:colOff>
                <xdr:row>2</xdr:row>
                <xdr:rowOff>8</xdr:rowOff>
              </xdr:from>
              <xdr:to>
                <xdr:col>6</xdr:col>
                <xdr:colOff>44</xdr:colOff>
                <xdr:row>22</xdr:row>
                <xdr:rowOff>8</xdr:rowOff>
              </xdr:to>
            </anchor>
          </commentPr>
        </mc:Choice>
        <mc:Fallback/>
      </mc:AlternateContent>
    </comment>
    <comment ref="C5"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4 or 2?</t>
        </r>
      </text>
      <mc:AlternateContent>
        <mc:Choice Requires="v2">
          <commentPr autoFill="true" autoScale="false" colHidden="false" locked="false" rowHidden="false" textHAlign="justify" textVAlign="top">
            <anchor moveWithCells="false" sizeWithCells="false">
              <xdr:from>
                <xdr:col>1</xdr:col>
                <xdr:colOff>172</xdr:colOff>
                <xdr:row>3</xdr:row>
                <xdr:rowOff>8</xdr:rowOff>
              </xdr:from>
              <xdr:to>
                <xdr:col>6</xdr:col>
                <xdr:colOff>44</xdr:colOff>
                <xdr:row>23</xdr:row>
                <xdr:rowOff>8</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Optional.
Used for Shift Planning purposes</t>
        </r>
      </text>
      <mc:AlternateContent>
        <mc:Choice Requires="v2">
          <commentPr autoFill="true" autoScale="false" colHidden="false" locked="false" rowHidden="false" textHAlign="justify" textVAlign="top">
            <anchor moveWithCells="false" sizeWithCells="false">
              <xdr:from>
                <xdr:col>0</xdr:col>
                <xdr:colOff>260</xdr:colOff>
                <xdr:row>2</xdr:row>
                <xdr:rowOff>12</xdr:rowOff>
              </xdr:from>
              <xdr:to>
                <xdr:col>1</xdr:col>
                <xdr:colOff>220</xdr:colOff>
                <xdr:row>6</xdr:row>
                <xdr:rowOff>8</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"1" means no overtime</t>
        </r>
      </text>
      <mc:AlternateContent>
        <mc:Choice Requires="v2">
          <commentPr autoFill="true" autoScale="false" colHidden="false" locked="false" rowHidden="false" textHAlign="justify" textVAlign="top">
            <anchor moveWithCells="false" sizeWithCells="false">
              <xdr:from>
                <xdr:col>2</xdr:col>
                <xdr:colOff>68</xdr:colOff>
                <xdr:row>0</xdr:row>
                <xdr:rowOff>0</xdr:rowOff>
              </xdr:from>
              <xdr:to>
                <xdr:col>6</xdr:col>
                <xdr:colOff>16</xdr:colOff>
                <xdr:row>2</xdr:row>
                <xdr:rowOff>20</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Define a Team pattern as a sequence of Team codes from Teams of the same Calendar as the Shift Definition. Note that all Team patterns for all Shift Definition Shifts must have the same length.</t>
        </r>
      </text>
      <mc:AlternateContent>
        <mc:Choice Requires="v2">
          <commentPr autoFill="true" autoScale="false" colHidden="false" locked="false" rowHidden="false" textHAlign="justify" textVAlign="top">
            <anchor moveWithCells="false" sizeWithCells="false">
              <xdr:from>
                <xdr:col>1</xdr:col>
                <xdr:colOff>4</xdr:colOff>
                <xdr:row>7</xdr:row>
                <xdr:rowOff>0</xdr:rowOff>
              </xdr:from>
              <xdr:to>
                <xdr:col>3</xdr:col>
                <xdr:colOff>8</xdr:colOff>
                <xdr:row>11</xdr:row>
                <xdr:rowOff>16</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WI54696. Background colors aren’t correctly uploaded</t>
        </r>
      </text>
      <mc:AlternateContent>
        <mc:Choice Requires="v2">
          <commentPr autoFill="true" autoScale="false" colHidden="false" locked="false" rowHidden="false" textHAlign="justify" textVAlign="top">
            <anchor moveWithCells="false" sizeWithCells="false">
              <xdr:from>
                <xdr:col>2</xdr:col>
                <xdr:colOff>56</xdr:colOff>
                <xdr:row>3</xdr:row>
                <xdr:rowOff>4</xdr:rowOff>
              </xdr:from>
              <xdr:to>
                <xdr:col>4</xdr:col>
                <xdr:colOff>68</xdr:colOff>
                <xdr:row>6</xdr:row>
                <xdr:rowOff>16</xdr:rowOff>
              </xdr:to>
            </anchor>
          </commentPr>
        </mc:Choice>
        <mc:Fallback/>
      </mc:AlternateContent>
    </comment>
    <comment ref="K1" authorId="1">
      <text>
        <r>
          <rPr>
            <sz val="10"/>
            <rFont val="Arial"/>
            <family val="2"/>
          </rPr>
          <t xml:space="preserve">Luís Miguel Ponte:
</t>
        </r>
        <r>
          <rPr>
            <sz val="9"/>
            <color rgb="FF000000"/>
            <rFont val="Tahoma"/>
            <family val="2"/>
            <charset val="1"/>
          </rPr>
          <t xml:space="preserve">
Delimited by semi-colons ';'.
Each item in the format:
Name[Name of Non-working time] StartTime[startTime] EndTime[endTime]</t>
        </r>
      </text>
      <mc:AlternateContent>
        <mc:Choice Requires="v2">
          <commentPr autoFill="true" autoScale="false" colHidden="false" locked="false" rowHidden="false" textHAlign="justify" textVAlign="top">
            <anchor moveWithCells="false" sizeWithCells="false">
              <xdr:from>
                <xdr:col>2</xdr:col>
                <xdr:colOff>80</xdr:colOff>
                <xdr:row>4</xdr:row>
                <xdr:rowOff>16</xdr:rowOff>
              </xdr:from>
              <xdr:to>
                <xdr:col>7</xdr:col>
                <xdr:colOff>144</xdr:colOff>
                <xdr:row>9</xdr:row>
                <xdr:rowOff>4</xdr:rowOff>
              </xdr:to>
            </anchor>
          </commentPr>
        </mc:Choice>
        <mc:Fallback/>
      </mc:AlternateContent>
    </comment>
  </commentList>
</comments>
</file>

<file path=xl/comments4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Pedro Silva</author>
  </authors>
  <commentList>
    <comment ref="I1" authorId="0">
      <text>
        <r>
          <rPr>
            <sz val="10"/>
            <rFont val="Arial"/>
            <family val="2"/>
          </rPr>
          <t xml:space="preserve">Sintax:
</t>
        </r>
        <r>
          <rPr>
            <sz val="9"/>
            <color rgb="FF000000"/>
            <rFont val="Tahoma"/>
            <family val="2"/>
            <charset val="1"/>
          </rPr>
          <t xml:space="preserve">Shift[</t>
        </r>
        <r>
          <rPr>
            <i val="true"/>
            <sz val="9"/>
            <color rgb="FF000000"/>
            <rFont val="Tahoma"/>
            <family val="2"/>
            <charset val="1"/>
          </rPr>
          <t xml:space="preserve">ShiftName</t>
        </r>
        <r>
          <rPr>
            <sz val="9"/>
            <color rgb="FF000000"/>
            <rFont val="Tahoma"/>
            <family val="2"/>
            <charset val="1"/>
          </rPr>
          <t xml:space="preserve">] Team[</t>
        </r>
        <r>
          <rPr>
            <i val="true"/>
            <sz val="9"/>
            <color rgb="FF000000"/>
            <rFont val="Tahoma"/>
            <family val="2"/>
            <charset val="1"/>
          </rPr>
          <t xml:space="preserve">TeamName</t>
        </r>
        <r>
          <rPr>
            <sz val="9"/>
            <color rgb="FF000000"/>
            <rFont val="Tahoma"/>
            <family val="2"/>
            <charset val="1"/>
          </rPr>
          <t xml:space="preserve">]; Shift[ShiftName] Team[TeamName]; …
TeamName can be empty and means that you want to remove the team from a prexisting day.
</t>
        </r>
        <r>
          <rPr>
            <b val="true"/>
            <sz val="9"/>
            <color rgb="FF000000"/>
            <rFont val="Tahoma"/>
            <family val="2"/>
            <charset val="1"/>
          </rPr>
          <t xml:space="preserve">WI55036: Not possible to create/update CalendarDays with only the ShiftDefinition set or as NonWorking (different from the week definition).</t>
        </r>
      </text>
      <mc:AlternateContent>
        <mc:Choice Requires="v2">
          <commentPr autoFill="true" autoScale="false" colHidden="false" locked="false" rowHidden="false" textHAlign="justify" textVAlign="top">
            <anchor moveWithCells="false" sizeWithCells="false">
              <xdr:from>
                <xdr:col>4</xdr:col>
                <xdr:colOff>0</xdr:colOff>
                <xdr:row>3</xdr:row>
                <xdr:rowOff>8</xdr:rowOff>
              </xdr:from>
              <xdr:to>
                <xdr:col>8</xdr:col>
                <xdr:colOff>148</xdr:colOff>
                <xdr:row>10</xdr:row>
                <xdr:rowOff>8</xdr:rowOff>
              </xdr:to>
            </anchor>
          </commentPr>
        </mc:Choice>
        <mc:Fallback/>
      </mc:AlternateContent>
    </comment>
  </commentList>
</comments>
</file>

<file path=xl/comments4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Schedule mode: automatic assumes that the scheduling engine will be used to create the plans</t>
        </r>
      </text>
      <mc:AlternateContent>
        <mc:Choice Requires="v2">
          <commentPr autoFill="true" autoScale="false" colHidden="false" locked="false" rowHidden="false" textHAlign="justify" textVAlign="top">
            <anchor moveWithCells="false" sizeWithCells="false">
              <xdr:from>
                <xdr:col>6</xdr:col>
                <xdr:colOff>48</xdr:colOff>
                <xdr:row>0</xdr:row>
                <xdr:rowOff>0</xdr:rowOff>
              </xdr:from>
              <xdr:to>
                <xdr:col>7</xdr:col>
                <xdr:colOff>44</xdr:colOff>
                <xdr:row>3</xdr:row>
                <xdr:rowOff>20</xdr:rowOff>
              </xdr:to>
            </anchor>
          </commentPr>
        </mc:Choice>
        <mc:Fallback/>
      </mc:AlternateContent>
    </comment>
    <comment ref="E1" authorId="1">
      <text>
        <r>
          <rPr>
            <sz val="10"/>
            <rFont val="Arial"/>
            <family val="2"/>
          </rPr>
          <t xml:space="preserve">Optionally an owner role. If defined, only persons from this role are able to edit and generate the ScheduleScenario.</t>
        </r>
      </text>
      <mc:AlternateContent>
        <mc:Choice Requires="v2">
          <commentPr autoFill="true" autoScale="false" colHidden="false" locked="false" rowHidden="false" textHAlign="justify" textVAlign="top">
            <anchor moveWithCells="false" sizeWithCells="false">
              <xdr:from>
                <xdr:col>1</xdr:col>
                <xdr:colOff>64</xdr:colOff>
                <xdr:row>3</xdr:row>
                <xdr:rowOff>12</xdr:rowOff>
              </xdr:from>
              <xdr:to>
                <xdr:col>4</xdr:col>
                <xdr:colOff>54</xdr:colOff>
                <xdr:row>6</xdr:row>
                <xdr:rowOff>20</xdr:rowOff>
              </xdr:to>
            </anchor>
          </commentPr>
        </mc:Choice>
        <mc:Fallback/>
      </mc:AlternateContent>
    </comment>
    <comment ref="F1" authorId="1">
      <text>
        <r>
          <rPr>
            <sz val="10"/>
            <rFont val="Arial"/>
            <family val="2"/>
          </rPr>
          <t xml:space="preserve">An enumeration: Day, Week (default), Month.</t>
        </r>
      </text>
      <mc:AlternateContent>
        <mc:Choice Requires="v2">
          <commentPr autoFill="true" autoScale="false" colHidden="false" locked="false" rowHidden="false" textHAlign="justify" textVAlign="top">
            <anchor moveWithCells="false" sizeWithCells="false">
              <xdr:from>
                <xdr:col>3</xdr:col>
                <xdr:colOff>28</xdr:colOff>
                <xdr:row>4</xdr:row>
                <xdr:rowOff>16</xdr:rowOff>
              </xdr:from>
              <xdr:to>
                <xdr:col>5</xdr:col>
                <xdr:colOff>100</xdr:colOff>
                <xdr:row>6</xdr:row>
                <xdr:rowOff>16</xdr:rowOff>
              </xdr:to>
            </anchor>
          </commentPr>
        </mc:Choice>
        <mc:Fallback/>
      </mc:AlternateContent>
    </comment>
    <comment ref="G1" authorId="1">
      <text>
        <r>
          <rPr>
            <sz val="10"/>
            <rFont val="Arial"/>
            <family val="2"/>
          </rPr>
          <t xml:space="preserve">Planning horizon in days from now.</t>
        </r>
      </text>
      <mc:AlternateContent>
        <mc:Choice Requires="v2">
          <commentPr autoFill="true" autoScale="false" colHidden="false" locked="false" rowHidden="false" textHAlign="justify" textVAlign="top">
            <anchor moveWithCells="false" sizeWithCells="false">
              <xdr:from>
                <xdr:col>5</xdr:col>
                <xdr:colOff>132</xdr:colOff>
                <xdr:row>2</xdr:row>
                <xdr:rowOff>16</xdr:rowOff>
              </xdr:from>
              <xdr:to>
                <xdr:col>6</xdr:col>
                <xdr:colOff>100</xdr:colOff>
                <xdr:row>4</xdr:row>
                <xdr:rowOff>20</xdr:rowOff>
              </xdr:to>
            </anchor>
          </commentPr>
        </mc:Choice>
        <mc:Fallback/>
      </mc:AlternateContent>
    </comment>
    <comment ref="H1" authorId="1">
      <text>
        <r>
          <rPr>
            <sz val="10"/>
            <rFont val="Arial"/>
            <family val="2"/>
          </rPr>
          <t xml:space="preserve">Planning horizon in days from now.</t>
        </r>
      </text>
      <mc:AlternateContent>
        <mc:Choice Requires="v2">
          <commentPr autoFill="true" autoScale="false" colHidden="false" locked="false" rowHidden="false" textHAlign="justify" textVAlign="top">
            <anchor moveWithCells="false" sizeWithCells="false">
              <xdr:from>
                <xdr:col>6</xdr:col>
                <xdr:colOff>156</xdr:colOff>
                <xdr:row>2</xdr:row>
                <xdr:rowOff>12</xdr:rowOff>
              </xdr:from>
              <xdr:to>
                <xdr:col>7</xdr:col>
                <xdr:colOff>104</xdr:colOff>
                <xdr:row>4</xdr:row>
                <xdr:rowOff>12</xdr:rowOff>
              </xdr:to>
            </anchor>
          </commentPr>
        </mc:Choice>
        <mc:Fallback/>
      </mc:AlternateContent>
    </comment>
    <comment ref="I1" authorId="1">
      <text>
        <r>
          <rPr>
            <sz val="10"/>
            <rFont val="Arial"/>
            <family val="2"/>
          </rPr>
          <t xml:space="preserve">Safety time window for planning (in hours). Jobs will only be ScheduleScenariod after the defined Frozen period window.</t>
        </r>
      </text>
      <mc:AlternateContent>
        <mc:Choice Requires="v2">
          <commentPr autoFill="true" autoScale="false" colHidden="false" locked="false" rowHidden="false" textHAlign="justify" textVAlign="top">
            <anchor moveWithCells="false" sizeWithCells="false">
              <xdr:from>
                <xdr:col>7</xdr:col>
                <xdr:colOff>176</xdr:colOff>
                <xdr:row>2</xdr:row>
                <xdr:rowOff>12</xdr:rowOff>
              </xdr:from>
              <xdr:to>
                <xdr:col>8</xdr:col>
                <xdr:colOff>128</xdr:colOff>
                <xdr:row>6</xdr:row>
                <xdr:rowOff>4</xdr:rowOff>
              </xdr:to>
            </anchor>
          </commentPr>
        </mc:Choice>
        <mc:Fallback/>
      </mc:AlternateContent>
    </comment>
    <comment ref="J1" authorId="1">
      <text>
        <r>
          <rPr>
            <sz val="10"/>
            <rFont val="Arial"/>
            <family val="2"/>
          </rPr>
          <t xml:space="preserve">Time rounding and time slots – in minutes used for time continuum steps by the Schedule. It also defines the minimum processing time.</t>
        </r>
      </text>
      <mc:AlternateContent>
        <mc:Choice Requires="v2">
          <commentPr autoFill="true" autoScale="false" colHidden="false" locked="false" rowHidden="false" textHAlign="justify" textVAlign="top">
            <anchor moveWithCells="false" sizeWithCells="false">
              <xdr:from>
                <xdr:col>10</xdr:col>
                <xdr:colOff>212</xdr:colOff>
                <xdr:row>0</xdr:row>
                <xdr:rowOff>0</xdr:rowOff>
              </xdr:from>
              <xdr:to>
                <xdr:col>12</xdr:col>
                <xdr:colOff>4</xdr:colOff>
                <xdr:row>3</xdr:row>
                <xdr:rowOff>20</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How to handle Materials and Durables on hold:
• Include: Materials are included in scheduling and Durables are considered as available
• Exclude: Materials are not included in scheduling and Durables are not considered as available</t>
        </r>
      </text>
      <mc:AlternateContent>
        <mc:Choice Requires="v2">
          <commentPr autoFill="true" autoScale="false" colHidden="false" locked="false" rowHidden="false" textHAlign="justify" textVAlign="top">
            <anchor moveWithCells="false" sizeWithCells="false">
              <xdr:from>
                <xdr:col>10</xdr:col>
                <xdr:colOff>100</xdr:colOff>
                <xdr:row>2</xdr:row>
                <xdr:rowOff>12</xdr:rowOff>
              </xdr:from>
              <xdr:to>
                <xdr:col>12</xdr:col>
                <xdr:colOff>44</xdr:colOff>
                <xdr:row>9</xdr:row>
                <xdr:rowOff>4</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How to handle Materials with Future Holds:
• Ignore: Materials are scheduled up until the end of their Flow
• Stop: Material are schedule up until the first Future Hold</t>
        </r>
      </text>
      <mc:AlternateContent>
        <mc:Choice Requires="v2">
          <commentPr autoFill="true" autoScale="false" colHidden="false" locked="false" rowHidden="false" textHAlign="justify" textVAlign="top">
            <anchor moveWithCells="false" sizeWithCells="false">
              <xdr:from>
                <xdr:col>11</xdr:col>
                <xdr:colOff>124</xdr:colOff>
                <xdr:row>3</xdr:row>
                <xdr:rowOff>4</xdr:rowOff>
              </xdr:from>
              <xdr:to>
                <xdr:col>14</xdr:col>
                <xdr:colOff>32</xdr:colOff>
                <xdr:row>7</xdr:row>
                <xdr:rowOff>16</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How should setups be considered when using the Minimize Setup Times criterion:
• False: scheduling will determine a global sequence of Materials with low total setup time.
• True: scheduling will locally, at each resource, determine the sequence that minimizes the setup time for that Resource, with the trade-off that there might be changes in the sequence from the one in the previous step.</t>
        </r>
      </text>
      <mc:AlternateContent>
        <mc:Choice Requires="v2">
          <commentPr autoFill="true" autoScale="false" colHidden="false" locked="false" rowHidden="false" textHAlign="justify" textVAlign="top">
            <anchor moveWithCells="false" sizeWithCells="false">
              <xdr:from>
                <xdr:col>12</xdr:col>
                <xdr:colOff>88</xdr:colOff>
                <xdr:row>3</xdr:row>
                <xdr:rowOff>16</xdr:rowOff>
              </xdr:from>
              <xdr:to>
                <xdr:col>14</xdr:col>
                <xdr:colOff>124</xdr:colOff>
                <xdr:row>11</xdr:row>
                <xdr:rowOff>20</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Activates durables scheduling for all scenarios
</t>
        </r>
      </text>
      <mc:AlternateContent>
        <mc:Choice Requires="v2">
          <commentPr autoFill="true" autoScale="false" colHidden="false" locked="false" rowHidden="false" textHAlign="justify" textVAlign="top">
            <anchor moveWithCells="false" sizeWithCells="false">
              <xdr:from>
                <xdr:col>14</xdr:col>
                <xdr:colOff>124</xdr:colOff>
                <xdr:row>4</xdr:row>
                <xdr:rowOff>0</xdr:rowOff>
              </xdr:from>
              <xdr:to>
                <xdr:col>16</xdr:col>
                <xdr:colOff>4</xdr:colOff>
                <xdr:row>7</xdr:row>
                <xdr:rowOff>4</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Whether Track-In should enforce the utilization of the durables scheduled for each job
</t>
        </r>
      </text>
      <mc:AlternateContent>
        <mc:Choice Requires="v2">
          <commentPr autoFill="true" autoScale="false" colHidden="false" locked="false" rowHidden="false" textHAlign="justify" textVAlign="top">
            <anchor moveWithCells="false" sizeWithCells="false">
              <xdr:from>
                <xdr:col>15</xdr:col>
                <xdr:colOff>204</xdr:colOff>
                <xdr:row>5</xdr:row>
                <xdr:rowOff>4</xdr:rowOff>
              </xdr:from>
              <xdr:to>
                <xdr:col>17</xdr:col>
                <xdr:colOff>136</xdr:colOff>
                <xdr:row>8</xdr:row>
                <xdr:rowOff>16</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Activates employee scheduling for all scenarios</t>
        </r>
      </text>
      <mc:AlternateContent>
        <mc:Choice Requires="v2">
          <commentPr autoFill="true" autoScale="false" colHidden="false" locked="false" rowHidden="false" textHAlign="justify" textVAlign="top">
            <anchor moveWithCells="false" sizeWithCells="false">
              <xdr:from>
                <xdr:col>17</xdr:col>
                <xdr:colOff>124</xdr:colOff>
                <xdr:row>2</xdr:row>
                <xdr:rowOff>4</xdr:rowOff>
              </xdr:from>
              <xdr:to>
                <xdr:col>18</xdr:col>
                <xdr:colOff>52</xdr:colOff>
                <xdr:row>5</xdr:row>
                <xdr:rowOff>16</xdr:rowOff>
              </xdr:to>
            </anchor>
          </commentPr>
        </mc:Choice>
        <mc:Fallback/>
      </mc:AlternateContent>
    </comment>
    <comment ref="T1" authorId="0">
      <text>
        <r>
          <rPr>
            <sz val="10"/>
            <rFont val="Arial"/>
            <family val="2"/>
          </rPr>
          <t xml:space="preserve">José Romeu Gonçalves:
</t>
        </r>
        <r>
          <rPr>
            <sz val="9"/>
            <color rgb="FF000000"/>
            <rFont val="Tahoma"/>
            <family val="2"/>
            <charset val="1"/>
          </rPr>
          <t xml:space="preserve">
How employees should be considered for employee scheduling:
• All Certifications: an Employee is available to work with any of his/her granted Certification
• Position: an Employee is only available to work with his/her Position</t>
        </r>
      </text>
      <mc:AlternateContent>
        <mc:Choice Requires="v2">
          <commentPr autoFill="true" autoScale="false" colHidden="false" locked="false" rowHidden="false" textHAlign="justify" textVAlign="top">
            <anchor moveWithCells="false" sizeWithCells="false">
              <xdr:from>
                <xdr:col>17</xdr:col>
                <xdr:colOff>152</xdr:colOff>
                <xdr:row>4</xdr:row>
                <xdr:rowOff>0</xdr:rowOff>
              </xdr:from>
              <xdr:to>
                <xdr:col>20</xdr:col>
                <xdr:colOff>4</xdr:colOff>
                <xdr:row>9</xdr:row>
                <xdr:rowOff>4</xdr:rowOff>
              </xdr:to>
            </anchor>
          </commentPr>
        </mc:Choice>
        <mc:Fallback/>
      </mc:AlternateContent>
    </comment>
    <comment ref="U1" authorId="0">
      <text>
        <r>
          <rPr>
            <sz val="10"/>
            <rFont val="Arial"/>
            <family val="2"/>
          </rPr>
          <t xml:space="preserve">José Romeu Gonçalves:
</t>
        </r>
        <r>
          <rPr>
            <sz val="9"/>
            <color rgb="FF000000"/>
            <rFont val="Tahoma"/>
            <family val="2"/>
            <charset val="1"/>
          </rPr>
          <t xml:space="preserve">
If an Employee can work only on Resources of his/her Area, or any Area of the Schedule</t>
        </r>
      </text>
      <mc:AlternateContent>
        <mc:Choice Requires="v2">
          <commentPr autoFill="true" autoScale="false" colHidden="false" locked="false" rowHidden="false" textHAlign="justify" textVAlign="top">
            <anchor moveWithCells="false" sizeWithCells="false">
              <xdr:from>
                <xdr:col>19</xdr:col>
                <xdr:colOff>104</xdr:colOff>
                <xdr:row>3</xdr:row>
                <xdr:rowOff>4</xdr:rowOff>
              </xdr:from>
              <xdr:to>
                <xdr:col>20</xdr:col>
                <xdr:colOff>128</xdr:colOff>
                <xdr:row>7</xdr:row>
                <xdr:rowOff>12</xdr:rowOff>
              </xdr:to>
            </anchor>
          </commentPr>
        </mc:Choice>
        <mc:Fallback/>
      </mc:AlternateContent>
    </comment>
    <comment ref="V1" authorId="0">
      <text>
        <r>
          <rPr>
            <sz val="10"/>
            <rFont val="Arial"/>
            <family val="2"/>
          </rPr>
          <t xml:space="preserve">José Romeu Gonçalves:
</t>
        </r>
        <r>
          <rPr>
            <sz val="9"/>
            <color rgb="FF000000"/>
            <rFont val="Tahoma"/>
            <family val="2"/>
            <charset val="1"/>
          </rPr>
          <t xml:space="preserve">
Whether Track-In should enforce the utilization of the employees scheduled for each job</t>
        </r>
      </text>
      <mc:AlternateContent>
        <mc:Choice Requires="v2">
          <commentPr autoFill="true" autoScale="false" colHidden="false" locked="false" rowHidden="false" textHAlign="justify" textVAlign="top">
            <anchor moveWithCells="false" sizeWithCells="false">
              <xdr:from>
                <xdr:col>20</xdr:col>
                <xdr:colOff>168</xdr:colOff>
                <xdr:row>3</xdr:row>
                <xdr:rowOff>4</xdr:rowOff>
              </xdr:from>
              <xdr:to>
                <xdr:col>21</xdr:col>
                <xdr:colOff>144</xdr:colOff>
                <xdr:row>7</xdr:row>
                <xdr:rowOff>4</xdr:rowOff>
              </xdr:to>
            </anchor>
          </commentPr>
        </mc:Choice>
        <mc:Fallback/>
      </mc:AlternateContent>
    </comment>
    <comment ref="W1" authorId="1">
      <text>
        <r>
          <rPr>
            <sz val="10"/>
            <rFont val="Arial"/>
            <family val="2"/>
          </rPr>
          <t xml:space="preserve">A boolean, that if true, means that in the case that there is no change matrix defined it will use a change matrix with the default values, but consider the diagonal filled with zeros.</t>
        </r>
      </text>
      <mc:AlternateContent>
        <mc:Choice Requires="v2">
          <commentPr autoFill="true" autoScale="false" colHidden="false" locked="false" rowHidden="false" textHAlign="justify" textVAlign="top">
            <anchor moveWithCells="false" sizeWithCells="false">
              <xdr:from>
                <xdr:col>21</xdr:col>
                <xdr:colOff>72</xdr:colOff>
                <xdr:row>4</xdr:row>
                <xdr:rowOff>12</xdr:rowOff>
              </xdr:from>
              <xdr:to>
                <xdr:col>22</xdr:col>
                <xdr:colOff>84</xdr:colOff>
                <xdr:row>8</xdr:row>
                <xdr:rowOff>4</xdr:rowOff>
              </xdr:to>
            </anchor>
          </commentPr>
        </mc:Choice>
        <mc:Fallback/>
      </mc:AlternateContent>
    </comment>
    <comment ref="X1" authorId="1">
      <text>
        <r>
          <rPr>
            <sz val="10"/>
            <rFont val="Arial"/>
            <family val="2"/>
          </rPr>
          <t xml:space="preserve">Indicates if when the delivery date is in risk, batch jobs should start even if their minimum quantity isn’t respected.</t>
        </r>
      </text>
      <mc:AlternateContent>
        <mc:Choice Requires="v2">
          <commentPr autoFill="true" autoScale="false" colHidden="false" locked="false" rowHidden="false" textHAlign="justify" textVAlign="top">
            <anchor moveWithCells="false" sizeWithCells="false">
              <xdr:from>
                <xdr:col>21</xdr:col>
                <xdr:colOff>160</xdr:colOff>
                <xdr:row>2</xdr:row>
                <xdr:rowOff>16</xdr:rowOff>
              </xdr:from>
              <xdr:to>
                <xdr:col>23</xdr:col>
                <xdr:colOff>24</xdr:colOff>
                <xdr:row>5</xdr:row>
                <xdr:rowOff>12</xdr:rowOff>
              </xdr:to>
            </anchor>
          </commentPr>
        </mc:Choice>
        <mc:Fallback/>
      </mc:AlternateContent>
    </comment>
    <comment ref="Y1" authorId="0">
      <text>
        <r>
          <rPr>
            <sz val="10"/>
            <rFont val="Arial"/>
            <family val="2"/>
          </rPr>
          <t xml:space="preserve">José Romeu Gonçalves:
</t>
        </r>
        <r>
          <rPr>
            <sz val="9"/>
            <color rgb="FF000000"/>
            <rFont val="Tahoma"/>
            <family val="2"/>
            <charset val="1"/>
          </rPr>
          <t xml:space="preserve">
If when a Schedule Scenario is released all other Schedule Scenarios should be terminated</t>
        </r>
      </text>
      <mc:AlternateContent>
        <mc:Choice Requires="v2">
          <commentPr autoFill="true" autoScale="false" colHidden="false" locked="false" rowHidden="false" textHAlign="justify" textVAlign="top">
            <anchor moveWithCells="false" sizeWithCells="false">
              <xdr:from>
                <xdr:col>22</xdr:col>
                <xdr:colOff>8</xdr:colOff>
                <xdr:row>2</xdr:row>
                <xdr:rowOff>12</xdr:rowOff>
              </xdr:from>
              <xdr:to>
                <xdr:col>23</xdr:col>
                <xdr:colOff>80</xdr:colOff>
                <xdr:row>6</xdr:row>
                <xdr:rowOff>12</xdr:rowOff>
              </xdr:to>
            </anchor>
          </commentPr>
        </mc:Choice>
        <mc:Fallback/>
      </mc:AlternateContent>
    </comment>
  </commentList>
</comments>
</file>

<file path=xl/comments4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D1" authorId="0">
      <text>
        <r>
          <rPr>
            <sz val="10"/>
            <rFont val="Arial"/>
            <family val="2"/>
          </rPr>
          <t xml:space="preserve">A value between 0 and 100 – sum must be equal to 100.</t>
        </r>
      </text>
      <mc:AlternateContent>
        <mc:Choice Requires="v2">
          <commentPr autoFill="true" autoScale="false" colHidden="false" locked="false" rowHidden="false" textHAlign="justify" textVAlign="top">
            <anchor moveWithCells="false" sizeWithCells="false">
              <xdr:from>
                <xdr:col>2</xdr:col>
                <xdr:colOff>68</xdr:colOff>
                <xdr:row>4</xdr:row>
                <xdr:rowOff>4</xdr:rowOff>
              </xdr:from>
              <xdr:to>
                <xdr:col>3</xdr:col>
                <xdr:colOff>-40</xdr:colOff>
                <xdr:row>7</xdr:row>
                <xdr:rowOff>4</xdr:rowOff>
              </xdr:to>
            </anchor>
          </commentPr>
        </mc:Choice>
        <mc:Fallback/>
      </mc:AlternateContent>
    </comment>
  </commentList>
</comments>
</file>

<file path=xl/comments4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F1" authorId="0">
      <text>
        <r>
          <rPr>
            <sz val="10"/>
            <rFont val="Arial"/>
            <family val="2"/>
          </rPr>
          <t xml:space="preserve">The RemoteExportAddress has the address used by the Remote Export Plugin to define where to send the export. It usually refers to the Shipping Gateway for the remote site</t>
        </r>
      </text>
      <mc:AlternateContent>
        <mc:Choice Requires="v2">
          <commentPr autoFill="true" autoScale="false" colHidden="false" locked="false" rowHidden="false" textHAlign="justify" textVAlign="top">
            <anchor moveWithCells="false" sizeWithCells="false">
              <xdr:from>
                <xdr:col>1</xdr:col>
                <xdr:colOff>88</xdr:colOff>
                <xdr:row>3</xdr:row>
                <xdr:rowOff>16</xdr:rowOff>
              </xdr:from>
              <xdr:to>
                <xdr:col>4</xdr:col>
                <xdr:colOff>60</xdr:colOff>
                <xdr:row>7</xdr:row>
                <xdr:rowOff>8</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Tenant name of the remote MES System</t>
        </r>
      </text>
      <mc:AlternateContent>
        <mc:Choice Requires="v2">
          <commentPr autoFill="true" autoScale="false" colHidden="false" locked="false" rowHidden="false" textHAlign="justify" textVAlign="top">
            <anchor moveWithCells="false" sizeWithCells="false">
              <xdr:from>
                <xdr:col>6</xdr:col>
                <xdr:colOff>32</xdr:colOff>
                <xdr:row>2</xdr:row>
                <xdr:rowOff>8</xdr:rowOff>
              </xdr:from>
              <xdr:to>
                <xdr:col>7</xdr:col>
                <xdr:colOff>76</xdr:colOff>
                <xdr:row>5</xdr:row>
                <xdr:rowOff>16</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Personal Access Token that will be used to authenticate the requests between both systems.</t>
        </r>
      </text>
      <mc:AlternateContent>
        <mc:Choice Requires="v2">
          <commentPr autoFill="true" autoScale="false" colHidden="false" locked="false" rowHidden="false" textHAlign="justify" textVAlign="top">
            <anchor moveWithCells="false" sizeWithCells="false">
              <xdr:from>
                <xdr:col>7</xdr:col>
                <xdr:colOff>76</xdr:colOff>
                <xdr:row>2</xdr:row>
                <xdr:rowOff>16</xdr:rowOff>
              </xdr:from>
              <xdr:to>
                <xdr:col>8</xdr:col>
                <xdr:colOff>64</xdr:colOff>
                <xdr:row>7</xdr:row>
                <xdr:rowOff>4</xdr:rowOff>
              </xdr:to>
            </anchor>
          </commentPr>
        </mc:Choice>
        <mc:Fallback/>
      </mc:AlternateContent>
    </comment>
  </commentList>
</comments>
</file>

<file path=xl/comments4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FacilityType</t>
        </r>
      </text>
      <mc:AlternateContent>
        <mc:Choice Requires="v2">
          <commentPr autoFill="true" autoScale="false" colHidden="false" locked="false" rowHidden="false" textHAlign="justify" textVAlign="top">
            <anchor moveWithCells="false" sizeWithCells="false">
              <xdr:from>
                <xdr:col>0</xdr:col>
                <xdr:colOff>92</xdr:colOff>
                <xdr:row>4</xdr:row>
                <xdr:rowOff>12</xdr:rowOff>
              </xdr:from>
              <xdr:to>
                <xdr:col>1</xdr:col>
                <xdr:colOff>128</xdr:colOff>
                <xdr:row>7</xdr:row>
                <xdr:rowOff>4</xdr:rowOff>
              </xdr:to>
            </anchor>
          </commentPr>
        </mc:Choice>
        <mc:Fallback/>
      </mc:AlternateContent>
    </comment>
    <comment ref="F1" authorId="1">
      <text>
        <r>
          <rPr>
            <sz val="10"/>
            <rFont val="Arial"/>
            <family val="2"/>
          </rPr>
          <t xml:space="preserve">Value Must be:
</t>
        </r>
        <r>
          <rPr>
            <sz val="9"/>
            <color rgb="FF000000"/>
            <rFont val="Tahoma"/>
            <family val="2"/>
            <charset val="1"/>
          </rPr>
          <t xml:space="preserve">Optional Existing Calendar Name</t>
        </r>
      </text>
      <mc:AlternateContent>
        <mc:Choice Requires="v2">
          <commentPr autoFill="true" autoScale="false" colHidden="false" locked="false" rowHidden="false" textHAlign="justify" textVAlign="top">
            <anchor moveWithCells="false" sizeWithCells="false">
              <xdr:from>
                <xdr:col>1</xdr:col>
                <xdr:colOff>76</xdr:colOff>
                <xdr:row>5</xdr:row>
                <xdr:rowOff>8</xdr:rowOff>
              </xdr:from>
              <xdr:to>
                <xdr:col>2</xdr:col>
                <xdr:colOff>72</xdr:colOff>
                <xdr:row>7</xdr:row>
                <xdr:rowOff>16</xdr:rowOff>
              </xdr:to>
            </anchor>
          </commentPr>
        </mc:Choice>
        <mc:Fallback/>
      </mc:AlternateContent>
    </comment>
    <comment ref="G1" authorId="1">
      <text>
        <r>
          <rPr>
            <sz val="10"/>
            <rFont val="Arial"/>
            <family val="2"/>
          </rPr>
          <t xml:space="preserve">Value Must be:
</t>
        </r>
        <r>
          <rPr>
            <sz val="9"/>
            <color rgb="FF000000"/>
            <rFont val="Tahoma"/>
            <family val="2"/>
            <charset val="1"/>
          </rPr>
          <t xml:space="preserve">Optional Existing Site Name</t>
        </r>
      </text>
      <mc:AlternateContent>
        <mc:Choice Requires="v2">
          <commentPr autoFill="true" autoScale="false" colHidden="false" locked="false" rowHidden="false" textHAlign="justify" textVAlign="top">
            <anchor moveWithCells="false" sizeWithCells="false">
              <xdr:from>
                <xdr:col>1</xdr:col>
                <xdr:colOff>156</xdr:colOff>
                <xdr:row>5</xdr:row>
                <xdr:rowOff>8</xdr:rowOff>
              </xdr:from>
              <xdr:to>
                <xdr:col>2</xdr:col>
                <xdr:colOff>120</xdr:colOff>
                <xdr:row>8</xdr:row>
                <xdr:rowOff>8</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Select whether the Facility should terminate a Material sent to it upon arrival.</t>
        </r>
      </text>
      <mc:AlternateContent>
        <mc:Choice Requires="v2">
          <commentPr autoFill="true" autoScale="false" colHidden="false" locked="false" rowHidden="false" textHAlign="justify" textVAlign="top">
            <anchor moveWithCells="false" sizeWithCells="false">
              <xdr:from>
                <xdr:col>2</xdr:col>
                <xdr:colOff>24</xdr:colOff>
                <xdr:row>5</xdr:row>
                <xdr:rowOff>0</xdr:rowOff>
              </xdr:from>
              <xdr:to>
                <xdr:col>3</xdr:col>
                <xdr:colOff>16</xdr:colOff>
                <xdr:row>9</xdr:row>
                <xdr:rowOff>8</xdr:rowOff>
              </xdr:to>
            </anchor>
          </commentPr>
        </mc:Choice>
        <mc:Fallback/>
      </mc:AlternateContent>
    </comment>
    <comment ref="I1" authorId="1">
      <text>
        <r>
          <rPr>
            <sz val="10"/>
            <rFont val="Arial"/>
            <family val="2"/>
          </rPr>
          <t xml:space="preserve">Syntax:
</t>
        </r>
        <r>
          <rPr>
            <sz val="9"/>
            <color rgb="FF000000"/>
            <rFont val="Tahoma"/>
            <family val="2"/>
            <charset val="1"/>
          </rPr>
          <t xml:space="preserve">
Each item is delimited by a semi-colon ';'
Each item must be the name of one Facility</t>
        </r>
      </text>
      <mc:AlternateContent>
        <mc:Choice Requires="v2">
          <commentPr autoFill="true" autoScale="false" colHidden="false" locked="false" rowHidden="false" textHAlign="justify" textVAlign="top">
            <anchor moveWithCells="false" sizeWithCells="false">
              <xdr:from>
                <xdr:col>2</xdr:col>
                <xdr:colOff>4</xdr:colOff>
                <xdr:row>3</xdr:row>
                <xdr:rowOff>4</xdr:rowOff>
              </xdr:from>
              <xdr:to>
                <xdr:col>3</xdr:col>
                <xdr:colOff>32</xdr:colOff>
                <xdr:row>6</xdr:row>
                <xdr:rowOff>16</xdr:rowOff>
              </xdr:to>
            </anchor>
          </commentPr>
        </mc:Choice>
        <mc:Fallback/>
      </mc:AlternateContent>
    </comment>
  </commentList>
</comments>
</file>

<file path=xl/comments4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AreaType</t>
        </r>
      </text>
      <mc:AlternateContent>
        <mc:Choice Requires="v2">
          <commentPr autoFill="true" autoScale="false" colHidden="false" locked="false" rowHidden="false" textHAlign="justify" textVAlign="top">
            <anchor moveWithCells="false" sizeWithCells="false">
              <xdr:from>
                <xdr:col>0</xdr:col>
                <xdr:colOff>68</xdr:colOff>
                <xdr:row>4</xdr:row>
                <xdr:rowOff>12</xdr:rowOff>
              </xdr:from>
              <xdr:to>
                <xdr:col>1</xdr:col>
                <xdr:colOff>-65</xdr:colOff>
                <xdr:row>7</xdr:row>
                <xdr:rowOff>4</xdr:rowOff>
              </xdr:to>
            </anchor>
          </commentPr>
        </mc:Choice>
        <mc:Fallback/>
      </mc:AlternateContent>
    </comment>
    <comment ref="E1" authorId="1">
      <text>
        <r>
          <rPr>
            <sz val="10"/>
            <rFont val="Arial"/>
            <family val="2"/>
          </rPr>
          <t xml:space="preserve">Value Must be:
</t>
        </r>
        <r>
          <rPr>
            <sz val="9"/>
            <color rgb="FF000000"/>
            <rFont val="Tahoma"/>
            <family val="2"/>
            <charset val="1"/>
          </rPr>
          <t xml:space="preserve">Existing Facility Name</t>
        </r>
      </text>
      <mc:AlternateContent>
        <mc:Choice Requires="v2">
          <commentPr autoFill="true" autoScale="false" colHidden="false" locked="false" rowHidden="false" textHAlign="justify" textVAlign="top">
            <anchor moveWithCells="false" sizeWithCells="false">
              <xdr:from>
                <xdr:col>0</xdr:col>
                <xdr:colOff>128</xdr:colOff>
                <xdr:row>2</xdr:row>
                <xdr:rowOff>8</xdr:rowOff>
              </xdr:from>
              <xdr:to>
                <xdr:col>1</xdr:col>
                <xdr:colOff>-21</xdr:colOff>
                <xdr:row>4</xdr:row>
                <xdr:rowOff>20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when a Transfer Oder is created, the destination is pre-filled with this Default Destination
From Storage Area to Storage Area</t>
        </r>
      </text>
      <mc:AlternateContent>
        <mc:Choice Requires="v2">
          <commentPr autoFill="true" autoScale="false" colHidden="false" locked="false" rowHidden="false" textHAlign="justify" textVAlign="top">
            <anchor moveWithCells="false" sizeWithCells="false">
              <xdr:from>
                <xdr:col>1</xdr:col>
                <xdr:colOff>356</xdr:colOff>
                <xdr:row>1</xdr:row>
                <xdr:rowOff>16</xdr:rowOff>
              </xdr:from>
              <xdr:to>
                <xdr:col>6</xdr:col>
                <xdr:colOff>28</xdr:colOff>
                <xdr:row>6</xdr:row>
                <xdr:rowOff>16</xdr:rowOff>
              </xdr:to>
            </anchor>
          </commentPr>
        </mc:Choice>
        <mc:Fallback/>
      </mc:AlternateContent>
    </comment>
    <comment ref="J1" authorId="1">
      <text>
        <r>
          <rPr>
            <sz val="10"/>
            <rFont val="Arial"/>
            <family val="2"/>
          </rPr>
          <t xml:space="preserve">Value Must be:
</t>
        </r>
        <r>
          <rPr>
            <sz val="9"/>
            <color rgb="FF000000"/>
            <rFont val="Tahoma"/>
            <family val="2"/>
            <charset val="1"/>
          </rPr>
          <t xml:space="preserve">Existing Calendar Name</t>
        </r>
      </text>
      <mc:AlternateContent>
        <mc:Choice Requires="v2">
          <commentPr autoFill="true" autoScale="false" colHidden="false" locked="false" rowHidden="false" textHAlign="justify" textVAlign="top">
            <anchor moveWithCells="false" sizeWithCells="false">
              <xdr:from>
                <xdr:col>1</xdr:col>
                <xdr:colOff>212</xdr:colOff>
                <xdr:row>3</xdr:row>
                <xdr:rowOff>4</xdr:rowOff>
              </xdr:from>
              <xdr:to>
                <xdr:col>2</xdr:col>
                <xdr:colOff>-103</xdr:colOff>
                <xdr:row>5</xdr:row>
                <xdr:rowOff>16</xdr:rowOff>
              </xdr:to>
            </anchor>
          </commentPr>
        </mc:Choice>
        <mc:Fallback/>
      </mc:AlternateContent>
    </comment>
    <comment ref="K1" authorId="1">
      <text>
        <r>
          <rPr>
            <sz val="10"/>
            <rFont val="Arial"/>
            <family val="2"/>
          </rPr>
          <t xml:space="preserve">Value Must be:
</t>
        </r>
        <r>
          <rPr>
            <sz val="9"/>
            <color rgb="FF000000"/>
            <rFont val="Tahoma"/>
            <family val="2"/>
            <charset val="1"/>
          </rPr>
          <t xml:space="preserve">Existing Schedule Name</t>
        </r>
      </text>
      <mc:AlternateContent>
        <mc:Choice Requires="v2">
          <commentPr autoFill="true" autoScale="false" colHidden="false" locked="false" rowHidden="false" textHAlign="justify" textVAlign="top">
            <anchor moveWithCells="false" sizeWithCells="false">
              <xdr:from>
                <xdr:col>1</xdr:col>
                <xdr:colOff>232</xdr:colOff>
                <xdr:row>3</xdr:row>
                <xdr:rowOff>8</xdr:rowOff>
              </xdr:from>
              <xdr:to>
                <xdr:col>2</xdr:col>
                <xdr:colOff>-75</xdr:colOff>
                <xdr:row>5</xdr:row>
                <xdr:rowOff>20</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If a Schedule is selected, choose the Scheduling Area Group for this Area. Values are taken from the Lookup Table SchedulingAreaGroup</t>
        </r>
      </text>
      <mc:AlternateContent>
        <mc:Choice Requires="v2">
          <commentPr autoFill="true" autoScale="false" colHidden="false" locked="false" rowHidden="false" textHAlign="justify" textVAlign="top">
            <anchor moveWithCells="false" sizeWithCells="false">
              <xdr:from>
                <xdr:col>1</xdr:col>
                <xdr:colOff>264</xdr:colOff>
                <xdr:row>2</xdr:row>
                <xdr:rowOff>12</xdr:rowOff>
              </xdr:from>
              <xdr:to>
                <xdr:col>2</xdr:col>
                <xdr:colOff>28</xdr:colOff>
                <xdr:row>7</xdr:row>
                <xdr:rowOff>16</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From CostCenter Lookup Table</t>
        </r>
      </text>
      <mc:AlternateContent>
        <mc:Choice Requires="v2">
          <commentPr autoFill="true" autoScale="false" colHidden="false" locked="false" rowHidden="false" textHAlign="justify" textVAlign="top">
            <anchor moveWithCells="false" sizeWithCells="false">
              <xdr:from>
                <xdr:col>2</xdr:col>
                <xdr:colOff>40</xdr:colOff>
                <xdr:row>3</xdr:row>
                <xdr:rowOff>0</xdr:rowOff>
              </xdr:from>
              <xdr:to>
                <xdr:col>3</xdr:col>
                <xdr:colOff>60</xdr:colOff>
                <xdr:row>5</xdr:row>
                <xdr:rowOff>12</xdr:rowOff>
              </xdr:to>
            </anchor>
          </commentPr>
        </mc:Choice>
        <mc:Fallback/>
      </mc:AlternateContent>
    </comment>
  </commentList>
</comments>
</file>

<file path=xl/comments4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C1" authorId="0">
      <text>
        <r>
          <rPr>
            <sz val="10"/>
            <rFont val="Arial"/>
            <family val="2"/>
          </rPr>
          <t xml:space="preserve">Value Must belong to:
</t>
        </r>
        <r>
          <rPr>
            <sz val="9"/>
            <color rgb="FF000000"/>
            <rFont val="Tahoma"/>
            <family val="2"/>
            <charset val="1"/>
          </rPr>
          <t xml:space="preserve">LookupTable ServiceType</t>
        </r>
      </text>
      <mc:AlternateContent>
        <mc:Choice Requires="v2">
          <commentPr autoFill="true" autoScale="false" colHidden="false" locked="false" rowHidden="false" textHAlign="justify" textVAlign="top">
            <anchor moveWithCells="false" sizeWithCells="false">
              <xdr:from>
                <xdr:col>0</xdr:col>
                <xdr:colOff>184</xdr:colOff>
                <xdr:row>3</xdr:row>
                <xdr:rowOff>4</xdr:rowOff>
              </xdr:from>
              <xdr:to>
                <xdr:col>1</xdr:col>
                <xdr:colOff>24</xdr:colOff>
                <xdr:row>5</xdr:row>
                <xdr:rowOff>20</xdr:rowOff>
              </xdr:to>
            </anchor>
          </commentPr>
        </mc:Choice>
        <mc:Fallback/>
      </mc:AlternateContent>
    </comment>
    <comment ref="E1" authorId="0">
      <text>
        <r>
          <rPr>
            <sz val="10"/>
            <rFont val="Arial"/>
            <family val="2"/>
          </rPr>
          <t xml:space="preserve">Possible Values:
</t>
        </r>
        <r>
          <rPr>
            <sz val="9"/>
            <color rgb="FF000000"/>
            <rFont val="Tahoma"/>
            <family val="2"/>
            <charset val="1"/>
          </rPr>
          <t xml:space="preserve">
 - Process
 - Storage
 - Instrument
 - ConsumableFeed
- Transport</t>
        </r>
      </text>
      <mc:AlternateContent>
        <mc:Choice Requires="v2">
          <commentPr autoFill="true" autoScale="false" colHidden="false" locked="false" rowHidden="false" textHAlign="justify" textVAlign="top">
            <anchor moveWithCells="false" sizeWithCells="false">
              <xdr:from>
                <xdr:col>0</xdr:col>
                <xdr:colOff>248</xdr:colOff>
                <xdr:row>3</xdr:row>
                <xdr:rowOff>4</xdr:rowOff>
              </xdr:from>
              <xdr:to>
                <xdr:col>1</xdr:col>
                <xdr:colOff>64</xdr:colOff>
                <xdr:row>8</xdr:row>
                <xdr:rowOff>20</xdr:rowOff>
              </xdr:to>
            </anchor>
          </commentPr>
        </mc:Choice>
        <mc:Fallback/>
      </mc:AlternateContent>
    </comment>
  </commentList>
</comments>
</file>

<file path=xl/comments5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E1" authorId="0">
      <text>
        <r>
          <rPr>
            <sz val="10"/>
            <rFont val="Arial"/>
            <family val="2"/>
          </rPr>
          <t xml:space="preserve">From Lookup Table ReasonCategory
</t>
        </r>
      </text>
      <mc:AlternateContent>
        <mc:Choice Requires="v2">
          <commentPr autoFill="true" autoScale="false" colHidden="false" locked="false" rowHidden="false" textHAlign="justify" textVAlign="top">
            <anchor moveWithCells="false" sizeWithCells="false">
              <xdr:from>
                <xdr:col>0</xdr:col>
                <xdr:colOff>220</xdr:colOff>
                <xdr:row>6</xdr:row>
                <xdr:rowOff>0</xdr:rowOff>
              </xdr:from>
              <xdr:to>
                <xdr:col>1</xdr:col>
                <xdr:colOff>-274</xdr:colOff>
                <xdr:row>8</xdr:row>
                <xdr:rowOff>8</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Whether to exclude the Reason from the Step Yield calculations</t>
        </r>
      </text>
      <mc:AlternateContent>
        <mc:Choice Requires="v2">
          <commentPr autoFill="true" autoScale="false" colHidden="false" locked="false" rowHidden="false" textHAlign="justify" textVAlign="top">
            <anchor moveWithCells="false" sizeWithCells="false">
              <xdr:from>
                <xdr:col>0</xdr:col>
                <xdr:colOff>424</xdr:colOff>
                <xdr:row>3</xdr:row>
                <xdr:rowOff>4</xdr:rowOff>
              </xdr:from>
              <xdr:to>
                <xdr:col>1</xdr:col>
                <xdr:colOff>-62</xdr:colOff>
                <xdr:row>7</xdr:row>
                <xdr:rowOff>4</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Whether to exclude the Reason from the Resource Yield calculations.</t>
        </r>
      </text>
      <mc:AlternateContent>
        <mc:Choice Requires="v2">
          <commentPr autoFill="true" autoScale="false" colHidden="false" locked="false" rowHidden="false" textHAlign="justify" textVAlign="top">
            <anchor moveWithCells="false" sizeWithCells="false">
              <xdr:from>
                <xdr:col>0</xdr:col>
                <xdr:colOff>432</xdr:colOff>
                <xdr:row>2</xdr:row>
                <xdr:rowOff>8</xdr:rowOff>
              </xdr:from>
              <xdr:to>
                <xdr:col>1</xdr:col>
                <xdr:colOff>0</xdr:colOff>
                <xdr:row>7</xdr:row>
                <xdr:rowOff>4</xdr:rowOff>
              </xdr:to>
            </anchor>
          </commentPr>
        </mc:Choice>
        <mc:Fallback/>
      </mc:AlternateContent>
    </comment>
    <comment ref="H1" authorId="1">
      <text>
        <r>
          <rPr>
            <sz val="10"/>
            <rFont val="Arial"/>
            <family val="2"/>
          </rPr>
          <t xml:space="preserve">Value Must be:
</t>
        </r>
        <r>
          <rPr>
            <sz val="9"/>
            <color rgb="FF000000"/>
            <rFont val="Tahoma"/>
            <family val="2"/>
            <charset val="1"/>
          </rPr>
          <t xml:space="preserve">Optional Existing Security Role Name. Only users from that role are able to release the Material from Hold</t>
        </r>
      </text>
      <mc:AlternateContent>
        <mc:Choice Requires="v2">
          <commentPr autoFill="true" autoScale="false" colHidden="false" locked="false" rowHidden="false" textHAlign="justify" textVAlign="top">
            <anchor moveWithCells="false" sizeWithCells="false">
              <xdr:from>
                <xdr:col>0</xdr:col>
                <xdr:colOff>528</xdr:colOff>
                <xdr:row>4</xdr:row>
                <xdr:rowOff>8</xdr:rowOff>
              </xdr:from>
              <xdr:to>
                <xdr:col>2</xdr:col>
                <xdr:colOff>32</xdr:colOff>
                <xdr:row>8</xdr:row>
                <xdr:rowOff>16</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Whether multiple concurrent holds for the same Reason are allowed or not</t>
        </r>
      </text>
      <mc:AlternateContent>
        <mc:Choice Requires="v2">
          <commentPr autoFill="true" autoScale="false" colHidden="false" locked="false" rowHidden="false" textHAlign="justify" textVAlign="top">
            <anchor moveWithCells="false" sizeWithCells="false">
              <xdr:from>
                <xdr:col>0</xdr:col>
                <xdr:colOff>584</xdr:colOff>
                <xdr:row>3</xdr:row>
                <xdr:rowOff>8</xdr:rowOff>
              </xdr:from>
              <xdr:to>
                <xdr:col>3</xdr:col>
                <xdr:colOff>12</xdr:colOff>
                <xdr:row>6</xdr:row>
                <xdr:rowOff>16</xdr:rowOff>
              </xdr:to>
            </anchor>
          </commentPr>
        </mc:Choice>
        <mc:Fallback/>
      </mc:AlternateContent>
    </comment>
  </commentList>
</comments>
</file>

<file path=xl/comments5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The different severities for the Shift Logbook Entries</t>
        </r>
      </text>
      <mc:AlternateContent>
        <mc:Choice Requires="v2">
          <commentPr autoFill="true" autoScale="false" colHidden="false" locked="false" rowHidden="false" textHAlign="justify" textVAlign="top">
            <anchor moveWithCells="false" sizeWithCells="false">
              <xdr:from>
                <xdr:col>1</xdr:col>
                <xdr:colOff>16</xdr:colOff>
                <xdr:row>7</xdr:row>
                <xdr:rowOff>0</xdr:rowOff>
              </xdr:from>
              <xdr:to>
                <xdr:col>4</xdr:col>
                <xdr:colOff>16</xdr:colOff>
                <xdr:row>10</xdr:row>
                <xdr:rowOff>8</xdr:rowOff>
              </xdr:to>
            </anchor>
          </commentPr>
        </mc:Choice>
        <mc:Fallback/>
      </mc:AlternateContent>
    </comment>
  </commentList>
</comments>
</file>

<file path=xl/comments5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Only for Area Type = Process Line</t>
        </r>
      </text>
      <mc:AlternateContent>
        <mc:Choice Requires="v2">
          <commentPr autoFill="true" autoScale="false" colHidden="false" locked="false" rowHidden="false" textHAlign="justify" textVAlign="top">
            <anchor moveWithCells="false" sizeWithCells="false">
              <xdr:from>
                <xdr:col>5</xdr:col>
                <xdr:colOff>16</xdr:colOff>
                <xdr:row>0</xdr:row>
                <xdr:rowOff>0</xdr:rowOff>
              </xdr:from>
              <xdr:to>
                <xdr:col>6</xdr:col>
                <xdr:colOff>28</xdr:colOff>
                <xdr:row>3</xdr:row>
                <xdr:rowOff>20</xdr:rowOff>
              </xdr:to>
            </anchor>
          </commentPr>
        </mc:Choice>
        <mc:Fallback/>
      </mc:AlternateContent>
    </comment>
  </commentList>
</comments>
</file>

<file path=xl/comments5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Brandão</author>
  </authors>
  <commentList>
    <comment ref="D1" authorId="1">
      <text>
        <r>
          <rPr>
            <sz val="10"/>
            <rFont val="Arial"/>
            <family val="2"/>
          </rPr>
          <t xml:space="preserve">Value from lookup table EmployeeType</t>
        </r>
      </text>
      <mc:AlternateContent>
        <mc:Choice Requires="v2">
          <commentPr autoFill="true" autoScale="false" colHidden="false" locked="false" rowHidden="false" textHAlign="justify" textVAlign="top">
            <anchor moveWithCells="false" sizeWithCells="false">
              <xdr:from>
                <xdr:col>2</xdr:col>
                <xdr:colOff>20</xdr:colOff>
                <xdr:row>3</xdr:row>
                <xdr:rowOff>16</xdr:rowOff>
              </xdr:from>
              <xdr:to>
                <xdr:col>4</xdr:col>
                <xdr:colOff>28</xdr:colOff>
                <xdr:row>5</xdr:row>
                <xdr:rowOff>12</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From CostCenter Lookup Table</t>
        </r>
      </text>
      <mc:AlternateContent>
        <mc:Choice Requires="v2">
          <commentPr autoFill="true" autoScale="false" colHidden="false" locked="false" rowHidden="false" textHAlign="justify" textVAlign="top">
            <anchor moveWithCells="false" sizeWithCells="false">
              <xdr:from>
                <xdr:col>6</xdr:col>
                <xdr:colOff>28</xdr:colOff>
                <xdr:row>2</xdr:row>
                <xdr:rowOff>8</xdr:rowOff>
              </xdr:from>
              <xdr:to>
                <xdr:col>9</xdr:col>
                <xdr:colOff>20</xdr:colOff>
                <xdr:row>5</xdr:row>
                <xdr:rowOff>4</xdr:rowOff>
              </xdr:to>
            </anchor>
          </commentPr>
        </mc:Choice>
        <mc:Fallback/>
      </mc:AlternateContent>
    </comment>
    <comment ref="N1" authorId="1">
      <text>
        <r>
          <rPr>
            <sz val="10"/>
            <rFont val="Arial"/>
            <family val="2"/>
          </rPr>
          <t xml:space="preserve">Name of the Manager Employee
</t>
        </r>
        <r>
          <rPr>
            <b val="true"/>
            <sz val="9"/>
            <color rgb="FF000000"/>
            <rFont val="Tahoma"/>
            <family val="2"/>
            <charset val="1"/>
          </rPr>
          <t xml:space="preserve">WI 43152</t>
        </r>
      </text>
      <mc:AlternateContent>
        <mc:Choice Requires="v2">
          <commentPr autoFill="true" autoScale="false" colHidden="false" locked="false" rowHidden="false" textHAlign="justify" textVAlign="top">
            <anchor moveWithCells="false" sizeWithCells="false">
              <xdr:from>
                <xdr:col>11</xdr:col>
                <xdr:colOff>92</xdr:colOff>
                <xdr:row>3</xdr:row>
                <xdr:rowOff>16</xdr:rowOff>
              </xdr:from>
              <xdr:to>
                <xdr:col>12</xdr:col>
                <xdr:colOff>120</xdr:colOff>
                <xdr:row>6</xdr:row>
                <xdr:rowOff>12</xdr:rowOff>
              </xdr:to>
            </anchor>
          </commentPr>
        </mc:Choice>
        <mc:Fallback/>
      </mc:AlternateContent>
    </comment>
  </commentList>
</comments>
</file>

<file path=xl/comments5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Reference to the Employee this Employee Delegate refers to</t>
        </r>
      </text>
      <mc:AlternateContent>
        <mc:Choice Requires="v2">
          <commentPr autoFill="true" autoScale="false" colHidden="false" locked="false" rowHidden="false" textHAlign="justify" textVAlign="top">
            <anchor moveWithCells="false" sizeWithCells="false">
              <xdr:from>
                <xdr:col>0</xdr:col>
                <xdr:colOff>52</xdr:colOff>
                <xdr:row>0</xdr:row>
                <xdr:rowOff>0</xdr:rowOff>
              </xdr:from>
              <xdr:to>
                <xdr:col>4</xdr:col>
                <xdr:colOff>12</xdr:colOff>
                <xdr:row>3</xdr:row>
                <xdr:rowOff>20</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The Employee for whom the responsibility is delegated</t>
        </r>
      </text>
      <mc:AlternateContent>
        <mc:Choice Requires="v2">
          <commentPr autoFill="true" autoScale="false" colHidden="false" locked="false" rowHidden="false" textHAlign="justify" textVAlign="top">
            <anchor moveWithCells="false" sizeWithCells="false">
              <xdr:from>
                <xdr:col>1</xdr:col>
                <xdr:colOff>8</xdr:colOff>
                <xdr:row>0</xdr:row>
                <xdr:rowOff>0</xdr:rowOff>
              </xdr:from>
              <xdr:to>
                <xdr:col>4</xdr:col>
                <xdr:colOff>16</xdr:colOff>
                <xdr:row>5</xdr:row>
                <xdr:rowOff>8</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the scope of the delegation</t>
        </r>
      </text>
      <mc:AlternateContent>
        <mc:Choice Requires="v2">
          <commentPr autoFill="true" autoScale="false" colHidden="false" locked="false" rowHidden="false" textHAlign="justify" textVAlign="top">
            <anchor moveWithCells="false" sizeWithCells="false">
              <xdr:from>
                <xdr:col>2</xdr:col>
                <xdr:colOff>4</xdr:colOff>
                <xdr:row>0</xdr:row>
                <xdr:rowOff>0</xdr:rowOff>
              </xdr:from>
              <xdr:to>
                <xdr:col>4</xdr:col>
                <xdr:colOff>28</xdr:colOff>
                <xdr:row>5</xdr:row>
                <xdr:rowOff>16</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Optional</t>
        </r>
      </text>
      <mc:AlternateContent>
        <mc:Choice Requires="v2">
          <commentPr autoFill="true" autoScale="false" colHidden="false" locked="false" rowHidden="false" textHAlign="justify" textVAlign="top">
            <anchor moveWithCells="false" sizeWithCells="false">
              <xdr:from>
                <xdr:col>3</xdr:col>
                <xdr:colOff>24</xdr:colOff>
                <xdr:row>0</xdr:row>
                <xdr:rowOff>0</xdr:rowOff>
              </xdr:from>
              <xdr:to>
                <xdr:col>5</xdr:col>
                <xdr:colOff>44</xdr:colOff>
                <xdr:row>3</xdr:row>
                <xdr:rowOff>20</xdr:rowOff>
              </xdr:to>
            </anchor>
          </commentPr>
        </mc:Choice>
        <mc:Fallback/>
      </mc:AlternateContent>
    </comment>
  </commentList>
</comments>
</file>

<file path=xl/comments5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Optional. And only if Qualification. AllowValidityOverrides=Yes</t>
        </r>
      </text>
      <mc:AlternateContent>
        <mc:Choice Requires="v2">
          <commentPr autoFill="true" autoScale="false" colHidden="false" locked="false" rowHidden="false" textHAlign="justify" textVAlign="top">
            <anchor moveWithCells="false" sizeWithCells="false">
              <xdr:from>
                <xdr:col>4</xdr:col>
                <xdr:colOff>16</xdr:colOff>
                <xdr:row>0</xdr:row>
                <xdr:rowOff>0</xdr:rowOff>
              </xdr:from>
              <xdr:to>
                <xdr:col>6</xdr:col>
                <xdr:colOff>88</xdr:colOff>
                <xdr:row>3</xdr:row>
                <xdr:rowOff>16</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The reason why the qualification was granted to the Employee</t>
        </r>
      </text>
      <mc:AlternateContent>
        <mc:Choice Requires="v2">
          <commentPr autoFill="true" autoScale="false" colHidden="false" locked="false" rowHidden="false" textHAlign="justify" textVAlign="top">
            <anchor moveWithCells="false" sizeWithCells="false">
              <xdr:from>
                <xdr:col>2</xdr:col>
                <xdr:colOff>24</xdr:colOff>
                <xdr:row>3</xdr:row>
                <xdr:rowOff>8</xdr:rowOff>
              </xdr:from>
              <xdr:to>
                <xdr:col>5</xdr:col>
                <xdr:colOff>24</xdr:colOff>
                <xdr:row>6</xdr:row>
                <xdr:rowOff>20</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The proficiency for this qualification</t>
        </r>
      </text>
      <mc:AlternateContent>
        <mc:Choice Requires="v2">
          <commentPr autoFill="true" autoScale="false" colHidden="false" locked="false" rowHidden="false" textHAlign="justify" textVAlign="top">
            <anchor moveWithCells="false" sizeWithCells="false">
              <xdr:from>
                <xdr:col>3</xdr:col>
                <xdr:colOff>52</xdr:colOff>
                <xdr:row>3</xdr:row>
                <xdr:rowOff>12</xdr:rowOff>
              </xdr:from>
              <xdr:to>
                <xdr:col>6</xdr:col>
                <xdr:colOff>72</xdr:colOff>
                <xdr:row>6</xdr:row>
                <xdr:rowOff>4</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Link to a Qualification evidence</t>
        </r>
      </text>
      <mc:AlternateContent>
        <mc:Choice Requires="v2">
          <commentPr autoFill="true" autoScale="false" colHidden="false" locked="false" rowHidden="false" textHAlign="justify" textVAlign="top">
            <anchor moveWithCells="false" sizeWithCells="false">
              <xdr:from>
                <xdr:col>3</xdr:col>
                <xdr:colOff>52</xdr:colOff>
                <xdr:row>2</xdr:row>
                <xdr:rowOff>16</xdr:rowOff>
              </xdr:from>
              <xdr:to>
                <xdr:col>6</xdr:col>
                <xdr:colOff>64</xdr:colOff>
                <xdr:row>5</xdr:row>
                <xdr:rowOff>16</xdr:rowOff>
              </xdr:to>
            </anchor>
          </commentPr>
        </mc:Choice>
        <mc:Fallback/>
      </mc:AlternateContent>
    </comment>
  </commentList>
</comments>
</file>

<file path=xl/comments5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a target date by when the user should obtain the certification</t>
        </r>
      </text>
      <mc:AlternateContent>
        <mc:Choice Requires="v2">
          <commentPr autoFill="true" autoScale="false" colHidden="false" locked="false" rowHidden="false" textHAlign="justify" textVAlign="top">
            <anchor moveWithCells="false" sizeWithCells="false">
              <xdr:from>
                <xdr:col>0</xdr:col>
                <xdr:colOff>56</xdr:colOff>
                <xdr:row>3</xdr:row>
                <xdr:rowOff>4</xdr:rowOff>
              </xdr:from>
              <xdr:to>
                <xdr:col>2</xdr:col>
                <xdr:colOff>48</xdr:colOff>
                <xdr:row>6</xdr:row>
                <xdr:rowOff>16</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Whether the Employee is a trainer on this Certification</t>
        </r>
      </text>
      <mc:AlternateContent>
        <mc:Choice Requires="v2">
          <commentPr autoFill="true" autoScale="false" colHidden="false" locked="false" rowHidden="false" textHAlign="justify" textVAlign="top">
            <anchor moveWithCells="false" sizeWithCells="false">
              <xdr:from>
                <xdr:col>5</xdr:col>
                <xdr:colOff>48</xdr:colOff>
                <xdr:row>0</xdr:row>
                <xdr:rowOff>0</xdr:rowOff>
              </xdr:from>
              <xdr:to>
                <xdr:col>7</xdr:col>
                <xdr:colOff>64</xdr:colOff>
                <xdr:row>3</xdr:row>
                <xdr:rowOff>20</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Whether the Employee is a trainee on this Certification</t>
        </r>
      </text>
      <mc:AlternateContent>
        <mc:Choice Requires="v2">
          <commentPr autoFill="true" autoScale="false" colHidden="false" locked="false" rowHidden="false" textHAlign="justify" textVAlign="top">
            <anchor moveWithCells="false" sizeWithCells="false">
              <xdr:from>
                <xdr:col>6</xdr:col>
                <xdr:colOff>52</xdr:colOff>
                <xdr:row>0</xdr:row>
                <xdr:rowOff>0</xdr:rowOff>
              </xdr:from>
              <xdr:to>
                <xdr:col>8</xdr:col>
                <xdr:colOff>48</xdr:colOff>
                <xdr:row>3</xdr:row>
                <xdr:rowOff>20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A remark about the certification</t>
        </r>
      </text>
      <mc:AlternateContent>
        <mc:Choice Requires="v2">
          <commentPr autoFill="true" autoScale="false" colHidden="false" locked="false" rowHidden="false" textHAlign="justify" textVAlign="top">
            <anchor moveWithCells="false" sizeWithCells="false">
              <xdr:from>
                <xdr:col>8</xdr:col>
                <xdr:colOff>116</xdr:colOff>
                <xdr:row>2</xdr:row>
                <xdr:rowOff>0</xdr:rowOff>
              </xdr:from>
              <xdr:to>
                <xdr:col>10</xdr:col>
                <xdr:colOff>56</xdr:colOff>
                <xdr:row>4</xdr:row>
                <xdr:rowOff>12</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Defines whether the Employee should be excluded from Scheduling for this particular certification</t>
        </r>
      </text>
      <mc:AlternateContent>
        <mc:Choice Requires="v2">
          <commentPr autoFill="true" autoScale="false" colHidden="false" locked="false" rowHidden="false" textHAlign="justify" textVAlign="top">
            <anchor moveWithCells="false" sizeWithCells="false">
              <xdr:from>
                <xdr:col>9</xdr:col>
                <xdr:colOff>104</xdr:colOff>
                <xdr:row>3</xdr:row>
                <xdr:rowOff>0</xdr:rowOff>
              </xdr:from>
              <xdr:to>
                <xdr:col>10</xdr:col>
                <xdr:colOff>164</xdr:colOff>
                <xdr:row>7</xdr:row>
                <xdr:rowOff>8</xdr:rowOff>
              </xdr:to>
            </anchor>
          </commentPr>
        </mc:Choice>
        <mc:Fallback/>
      </mc:AlternateContent>
    </comment>
  </commentList>
</comments>
</file>

<file path=xl/comments5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Brandão</author>
  </authors>
  <commentList>
    <comment ref="C1" authorId="1">
      <text>
        <r>
          <rPr>
            <sz val="10"/>
            <rFont val="Arial"/>
            <family val="2"/>
          </rPr>
          <t xml:space="preserve">Value from lookup table SamplingPlanType</t>
        </r>
      </text>
      <mc:AlternateContent>
        <mc:Choice Requires="v2">
          <commentPr autoFill="true" autoScale="false" colHidden="false" locked="false" rowHidden="false" textHAlign="justify" textVAlign="top">
            <anchor moveWithCells="false" sizeWithCells="false">
              <xdr:from>
                <xdr:col>1</xdr:col>
                <xdr:colOff>60</xdr:colOff>
                <xdr:row>3</xdr:row>
                <xdr:rowOff>0</xdr:rowOff>
              </xdr:from>
              <xdr:to>
                <xdr:col>4</xdr:col>
                <xdr:colOff>16</xdr:colOff>
                <xdr:row>5</xdr:row>
                <xdr:rowOff>8</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A value of 10 means every ten lot</t>
        </r>
      </text>
      <mc:AlternateContent>
        <mc:Choice Requires="v2">
          <commentPr autoFill="true" autoScale="false" colHidden="false" locked="false" rowHidden="false" textHAlign="justify" textVAlign="top">
            <anchor moveWithCells="false" sizeWithCells="false">
              <xdr:from>
                <xdr:col>4</xdr:col>
                <xdr:colOff>36</xdr:colOff>
                <xdr:row>5</xdr:row>
                <xdr:rowOff>16</xdr:rowOff>
              </xdr:from>
              <xdr:to>
                <xdr:col>5</xdr:col>
                <xdr:colOff>96</xdr:colOff>
                <xdr:row>8</xdr:row>
                <xdr:rowOff>8</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in hours</t>
        </r>
      </text>
      <mc:AlternateContent>
        <mc:Choice Requires="v2">
          <commentPr autoFill="true" autoScale="false" colHidden="false" locked="false" rowHidden="false" textHAlign="justify" textVAlign="top">
            <anchor moveWithCells="false" sizeWithCells="false">
              <xdr:from>
                <xdr:col>5</xdr:col>
                <xdr:colOff>148</xdr:colOff>
                <xdr:row>2</xdr:row>
                <xdr:rowOff>0</xdr:rowOff>
              </xdr:from>
              <xdr:to>
                <xdr:col>6</xdr:col>
                <xdr:colOff>76</xdr:colOff>
                <xdr:row>4</xdr:row>
                <xdr:rowOff>16</xdr:rowOff>
              </xdr:to>
            </anchor>
          </commentPr>
        </mc:Choice>
        <mc:Fallback/>
      </mc:AlternateContent>
    </comment>
  </commentList>
</comments>
</file>

<file path=xl/comments6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An Existing Sampling Plan</t>
        </r>
      </text>
      <mc:AlternateContent>
        <mc:Choice Requires="v2">
          <commentPr autoFill="true" autoScale="false" colHidden="false" locked="false" rowHidden="false" textHAlign="justify" textVAlign="top">
            <anchor moveWithCells="false" sizeWithCells="false">
              <xdr:from>
                <xdr:col>0</xdr:col>
                <xdr:colOff>40</xdr:colOff>
                <xdr:row>4</xdr:row>
                <xdr:rowOff>16</xdr:rowOff>
              </xdr:from>
              <xdr:to>
                <xdr:col>2</xdr:col>
                <xdr:colOff>64</xdr:colOff>
                <xdr:row>7</xdr:row>
                <xdr:rowOff>12</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
Name of the SamplingPlanContextInformation</t>
        </r>
      </text>
      <mc:AlternateContent>
        <mc:Choice Requires="v2">
          <commentPr autoFill="true" autoScale="false" colHidden="false" locked="false" rowHidden="false" textHAlign="justify" textVAlign="top">
            <anchor moveWithCells="false" sizeWithCells="false">
              <xdr:from>
                <xdr:col>2</xdr:col>
                <xdr:colOff>8</xdr:colOff>
                <xdr:row>4</xdr:row>
                <xdr:rowOff>12</xdr:rowOff>
              </xdr:from>
              <xdr:to>
                <xdr:col>4</xdr:col>
                <xdr:colOff>92</xdr:colOff>
                <xdr:row>7</xdr:row>
                <xdr:rowOff>8</xdr:rowOff>
              </xdr:to>
            </anchor>
          </commentPr>
        </mc:Choice>
        <mc:Fallback/>
      </mc:AlternateContent>
    </comment>
  </commentList>
</comments>
</file>

<file path=xl/comments6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Brandão</author>
  </authors>
  <commentList>
    <comment ref="C1" authorId="1">
      <text>
        <r>
          <rPr>
            <sz val="10"/>
            <rFont val="Arial"/>
            <family val="2"/>
          </rPr>
          <t xml:space="preserve">Value from lookup table SamplingPatternType</t>
        </r>
      </text>
      <mc:AlternateContent>
        <mc:Choice Requires="v2">
          <commentPr autoFill="true" autoScale="false" colHidden="false" locked="false" rowHidden="false" textHAlign="justify" textVAlign="top">
            <anchor moveWithCells="false" sizeWithCells="false">
              <xdr:from>
                <xdr:col>2</xdr:col>
                <xdr:colOff>44</xdr:colOff>
                <xdr:row>3</xdr:row>
                <xdr:rowOff>12</xdr:rowOff>
              </xdr:from>
              <xdr:to>
                <xdr:col>4</xdr:col>
                <xdr:colOff>56</xdr:colOff>
                <xdr:row>5</xdr:row>
                <xdr:rowOff>16</xdr:rowOff>
              </xdr:to>
            </anchor>
          </commentPr>
        </mc:Choice>
        <mc:Fallback/>
      </mc:AlternateContent>
    </comment>
    <comment ref="F1" authorId="0">
      <text>
        <r>
          <rPr>
            <sz val="10"/>
            <rFont val="Arial"/>
            <family val="2"/>
          </rPr>
          <t xml:space="preserve">Define the sampling selection by providing a list of the Sub-Materials in the format [Container]":"[Position] separated by semi-colons, e.g.: "C:1,P:1; C:Right-1, P:Bottom+2". If the Material will arrive at the Step in only one Container, it's possible to omit the Container portion completely, e.g.:  "P:5; P:2; P:3"
</t>
        </r>
      </text>
      <mc:AlternateContent>
        <mc:Choice Requires="v2">
          <commentPr autoFill="true" autoScale="false" colHidden="false" locked="false" rowHidden="false" textHAlign="justify" textVAlign="top">
            <anchor moveWithCells="false" sizeWithCells="false">
              <xdr:from>
                <xdr:col>4</xdr:col>
                <xdr:colOff>0</xdr:colOff>
                <xdr:row>5</xdr:row>
                <xdr:rowOff>0</xdr:rowOff>
              </xdr:from>
              <xdr:to>
                <xdr:col>6</xdr:col>
                <xdr:colOff>37</xdr:colOff>
                <xdr:row>9</xdr:row>
                <xdr:rowOff>8</xdr:rowOff>
              </xdr:to>
            </anchor>
          </commentPr>
        </mc:Choice>
        <mc:Fallback/>
      </mc:AlternateContent>
    </comment>
    <comment ref="G1" authorId="0">
      <text>
        <r>
          <rPr>
            <sz val="10"/>
            <rFont val="Arial"/>
            <family val="2"/>
          </rPr>
          <t xml:space="preserve">Define the Rule of scope SamplingSelection to be used to evaluate and apply the Sampling Selection.
</t>
        </r>
      </text>
      <mc:AlternateContent>
        <mc:Choice Requires="v2">
          <commentPr autoFill="true" autoScale="false" colHidden="false" locked="false" rowHidden="false" textHAlign="justify" textVAlign="top">
            <anchor moveWithCells="false" sizeWithCells="false">
              <xdr:from>
                <xdr:col>5</xdr:col>
                <xdr:colOff>120</xdr:colOff>
                <xdr:row>5</xdr:row>
                <xdr:rowOff>0</xdr:rowOff>
              </xdr:from>
              <xdr:to>
                <xdr:col>7</xdr:col>
                <xdr:colOff>124</xdr:colOff>
                <xdr:row>8</xdr:row>
                <xdr:rowOff>4</xdr:rowOff>
              </xdr:to>
            </anchor>
          </commentPr>
        </mc:Choice>
        <mc:Fallback/>
      </mc:AlternateContent>
    </comment>
    <comment ref="H1" authorId="0">
      <text>
        <r>
          <rPr>
            <sz val="10"/>
            <rFont val="Arial"/>
            <family val="2"/>
          </rPr>
          <t xml:space="preserve">Possible form values for Material: Material Form</t>
        </r>
      </text>
      <mc:AlternateContent>
        <mc:Choice Requires="v2">
          <commentPr autoFill="true" autoScale="false" colHidden="false" locked="false" rowHidden="false" textHAlign="justify" textVAlign="top">
            <anchor moveWithCells="false" sizeWithCells="false">
              <xdr:from>
                <xdr:col>5</xdr:col>
                <xdr:colOff>44</xdr:colOff>
                <xdr:row>4</xdr:row>
                <xdr:rowOff>8</xdr:rowOff>
              </xdr:from>
              <xdr:to>
                <xdr:col>7</xdr:col>
                <xdr:colOff>104</xdr:colOff>
                <xdr:row>5</xdr:row>
                <xdr:rowOff>12</xdr:rowOff>
              </xdr:to>
            </anchor>
          </commentPr>
        </mc:Choice>
        <mc:Fallback/>
      </mc:AlternateContent>
    </comment>
  </commentList>
</comments>
</file>

<file path=xl/comments6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H1" authorId="0">
      <text>
        <r>
          <rPr>
            <sz val="10"/>
            <rFont val="Arial"/>
            <family val="2"/>
          </rPr>
          <t xml:space="preserve">José Romeu Gonçalves:
</t>
        </r>
        <r>
          <rPr>
            <sz val="9"/>
            <color rgb="FF000000"/>
            <rFont val="Tahoma"/>
            <family val="2"/>
            <charset val="1"/>
          </rPr>
          <t xml:space="preserve">
From LabelSpecification Lookup Table</t>
        </r>
      </text>
      <mc:AlternateContent>
        <mc:Choice Requires="v2">
          <commentPr autoFill="true" autoScale="false" colHidden="false" locked="false" rowHidden="false" textHAlign="justify" textVAlign="top">
            <anchor moveWithCells="false" sizeWithCells="false">
              <xdr:from>
                <xdr:col>8</xdr:col>
                <xdr:colOff>16</xdr:colOff>
                <xdr:row>1</xdr:row>
                <xdr:rowOff>20</xdr:rowOff>
              </xdr:from>
              <xdr:to>
                <xdr:col>9</xdr:col>
                <xdr:colOff>104</xdr:colOff>
                <xdr:row>4</xdr:row>
                <xdr:rowOff>20</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From Country Lookup Table</t>
        </r>
      </text>
      <mc:AlternateContent>
        <mc:Choice Requires="v2">
          <commentPr autoFill="true" autoScale="false" colHidden="false" locked="false" rowHidden="false" textHAlign="justify" textVAlign="top">
            <anchor moveWithCells="false" sizeWithCells="false">
              <xdr:from>
                <xdr:col>10</xdr:col>
                <xdr:colOff>56</xdr:colOff>
                <xdr:row>2</xdr:row>
                <xdr:rowOff>8</xdr:rowOff>
              </xdr:from>
              <xdr:to>
                <xdr:col>11</xdr:col>
                <xdr:colOff>84</xdr:colOff>
                <xdr:row>5</xdr:row>
                <xdr:rowOff>12</xdr:rowOff>
              </xdr:to>
            </anchor>
          </commentPr>
        </mc:Choice>
        <mc:Fallback/>
      </mc:AlternateContent>
    </comment>
  </commentList>
</comments>
</file>

<file path=xl/comments6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From LookupTable AQLSeverity</t>
        </r>
      </text>
      <mc:AlternateContent>
        <mc:Choice Requires="v2">
          <commentPr autoFill="true" autoScale="false" colHidden="false" locked="false" rowHidden="false" textHAlign="justify" textVAlign="top">
            <anchor moveWithCells="false" sizeWithCells="false">
              <xdr:from>
                <xdr:col>1</xdr:col>
                <xdr:colOff>4</xdr:colOff>
                <xdr:row>4</xdr:row>
                <xdr:rowOff>4</xdr:rowOff>
              </xdr:from>
              <xdr:to>
                <xdr:col>4</xdr:col>
                <xdr:colOff>64</xdr:colOff>
                <xdr:row>7</xdr:row>
                <xdr:rowOff>4</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
From LookupTable AQLAcceptanceLimit</t>
        </r>
      </text>
      <mc:AlternateContent>
        <mc:Choice Requires="v2">
          <commentPr autoFill="true" autoScale="false" colHidden="false" locked="false" rowHidden="false" textHAlign="justify" textVAlign="top">
            <anchor moveWithCells="false" sizeWithCells="false">
              <xdr:from>
                <xdr:col>2</xdr:col>
                <xdr:colOff>84</xdr:colOff>
                <xdr:row>2</xdr:row>
                <xdr:rowOff>4</xdr:rowOff>
              </xdr:from>
              <xdr:to>
                <xdr:col>4</xdr:col>
                <xdr:colOff>68</xdr:colOff>
                <xdr:row>5</xdr:row>
                <xdr:rowOff>20</xdr:rowOff>
              </xdr:to>
            </anchor>
          </commentPr>
        </mc:Choice>
        <mc:Fallback/>
      </mc:AlternateContent>
    </comment>
  </commentList>
</comments>
</file>

<file path=xl/comments6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From LookupTable AQLInspectionLevel</t>
        </r>
      </text>
      <mc:AlternateContent>
        <mc:Choice Requires="v2">
          <commentPr autoFill="true" autoScale="false" colHidden="false" locked="false" rowHidden="false" textHAlign="justify" textVAlign="top">
            <anchor moveWithCells="false" sizeWithCells="false">
              <xdr:from>
                <xdr:col>1</xdr:col>
                <xdr:colOff>28</xdr:colOff>
                <xdr:row>5</xdr:row>
                <xdr:rowOff>16</xdr:rowOff>
              </xdr:from>
              <xdr:to>
                <xdr:col>5</xdr:col>
                <xdr:colOff>4</xdr:colOff>
                <xdr:row>11</xdr:row>
                <xdr:rowOff>4</xdr:rowOff>
              </xdr:to>
            </anchor>
          </commentPr>
        </mc:Choice>
        <mc:Fallback/>
      </mc:AlternateContent>
    </comment>
  </commentList>
</comments>
</file>

<file path=xl/comments6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From LookupTable InspectionSeverity</t>
        </r>
      </text>
      <mc:AlternateContent>
        <mc:Choice Requires="v2">
          <commentPr autoFill="true" autoScale="false" colHidden="false" locked="false" rowHidden="false" textHAlign="justify" textVAlign="top">
            <anchor moveWithCells="false" sizeWithCells="false">
              <xdr:from>
                <xdr:col>1</xdr:col>
                <xdr:colOff>8</xdr:colOff>
                <xdr:row>5</xdr:row>
                <xdr:rowOff>16</xdr:rowOff>
              </xdr:from>
              <xdr:to>
                <xdr:col>5</xdr:col>
                <xdr:colOff>36</xdr:colOff>
                <xdr:row>11</xdr:row>
                <xdr:rowOff>4</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The rank of the Inspection Severity. A higher rank, indicates a higher severity.</t>
        </r>
      </text>
      <mc:AlternateContent>
        <mc:Choice Requires="v2">
          <commentPr autoFill="true" autoScale="false" colHidden="false" locked="false" rowHidden="false" textHAlign="justify" textVAlign="top">
            <anchor moveWithCells="false" sizeWithCells="false">
              <xdr:from>
                <xdr:col>1</xdr:col>
                <xdr:colOff>68</xdr:colOff>
                <xdr:row>6</xdr:row>
                <xdr:rowOff>12</xdr:rowOff>
              </xdr:from>
              <xdr:to>
                <xdr:col>5</xdr:col>
                <xdr:colOff>20</xdr:colOff>
                <xdr:row>12</xdr:row>
                <xdr:rowOff>16</xdr:rowOff>
              </xdr:to>
            </anchor>
          </commentPr>
        </mc:Choice>
        <mc:Fallback/>
      </mc:AlternateContent>
    </comment>
  </commentList>
</comments>
</file>

<file path=xl/comments6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StepType</t>
        </r>
      </text>
      <mc:AlternateContent>
        <mc:Choice Requires="v2">
          <commentPr autoFill="true" autoScale="false" colHidden="true" locked="false" rowHidden="false" textHAlign="justify" textVAlign="top">
            <anchor moveWithCells="false" sizeWithCells="false">
              <xdr:from>
                <xdr:col>0</xdr:col>
                <xdr:colOff>120</xdr:colOff>
                <xdr:row>2</xdr:row>
                <xdr:rowOff>16</xdr:rowOff>
              </xdr:from>
              <xdr:to>
                <xdr:col>1</xdr:col>
                <xdr:colOff>-50</xdr:colOff>
                <xdr:row>5</xdr:row>
                <xdr:rowOff>8</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When a Material is tracked-in at a Resource in a Step defined as Process, the LastProcessResource of the Material is set with that Resource. F the Step is defined as Logistical or Metrology the LastProcessResource isn't updated</t>
        </r>
      </text>
      <mc:AlternateContent>
        <mc:Choice Requires="v2">
          <commentPr autoFill="true" autoScale="false" colHidden="true" locked="false" rowHidden="false" textHAlign="justify" textVAlign="top">
            <anchor moveWithCells="false" sizeWithCells="false">
              <xdr:from>
                <xdr:col>0</xdr:col>
                <xdr:colOff>164</xdr:colOff>
                <xdr:row>3</xdr:row>
                <xdr:rowOff>0</xdr:rowOff>
              </xdr:from>
              <xdr:to>
                <xdr:col>1</xdr:col>
                <xdr:colOff>272</xdr:colOff>
                <xdr:row>8</xdr:row>
                <xdr:rowOff>20</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Existing SortRuleSet Name (Scope = Material). 
</t>
        </r>
      </text>
      <mc:AlternateContent>
        <mc:Choice Requires="v2">
          <commentPr autoFill="true" autoScale="false" colHidden="true" locked="false" rowHidden="false" textHAlign="justify" textVAlign="top">
            <anchor moveWithCells="false" sizeWithCells="false">
              <xdr:from>
                <xdr:col>1</xdr:col>
                <xdr:colOff>212</xdr:colOff>
                <xdr:row>2</xdr:row>
                <xdr:rowOff>0</xdr:rowOff>
              </xdr:from>
              <xdr:to>
                <xdr:col>37</xdr:col>
                <xdr:colOff>70</xdr:colOff>
                <xdr:row>5</xdr:row>
                <xdr:rowOff>4</xdr:rowOff>
              </xdr:to>
            </anchor>
          </commentPr>
        </mc:Choice>
        <mc:Fallback/>
      </mc:AlternateContent>
    </comment>
    <comment ref="I1" authorId="1">
      <text>
        <r>
          <rPr>
            <sz val="10"/>
            <rFont val="Arial"/>
            <family val="2"/>
          </rPr>
          <t xml:space="preserve">Value Must be:
</t>
        </r>
        <r>
          <rPr>
            <sz val="9"/>
            <color rgb="FF000000"/>
            <rFont val="Tahoma"/>
            <family val="2"/>
            <charset val="1"/>
          </rPr>
          <t xml:space="preserve">Existing SortRuleSet Name (Scope = Resource). 
</t>
        </r>
      </text>
      <mc:AlternateContent>
        <mc:Choice Requires="v2">
          <commentPr autoFill="true" autoScale="false" colHidden="true" locked="false" rowHidden="false" textHAlign="justify" textVAlign="top">
            <anchor moveWithCells="false" sizeWithCells="false">
              <xdr:from>
                <xdr:col>37</xdr:col>
                <xdr:colOff>23</xdr:colOff>
                <xdr:row>0</xdr:row>
                <xdr:rowOff>0</xdr:rowOff>
              </xdr:from>
              <xdr:to>
                <xdr:col>38</xdr:col>
                <xdr:colOff>-23</xdr:colOff>
                <xdr:row>5</xdr:row>
                <xdr:rowOff>11</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Optional. A Printable Document of Scope LotTraveler</t>
        </r>
      </text>
      <mc:AlternateContent>
        <mc:Choice Requires="v2">
          <commentPr autoFill="true" autoScale="false" colHidden="true" locked="false" rowHidden="false" textHAlign="justify" textVAlign="top">
            <anchor moveWithCells="false" sizeWithCells="false">
              <xdr:from>
                <xdr:col>37</xdr:col>
                <xdr:colOff>86</xdr:colOff>
                <xdr:row>3</xdr:row>
                <xdr:rowOff>16</xdr:rowOff>
              </xdr:from>
              <xdr:to>
                <xdr:col>38</xdr:col>
                <xdr:colOff>132</xdr:colOff>
                <xdr:row>7</xdr:row>
                <xdr:rowOff>4</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The Material Label to be used when printing labels for this Step. Label of Scope = Label</t>
        </r>
      </text>
      <mc:AlternateContent>
        <mc:Choice Requires="v2">
          <commentPr autoFill="true" autoScale="false" colHidden="true" locked="false" rowHidden="false" textHAlign="justify" textVAlign="top">
            <anchor moveWithCells="false" sizeWithCells="false">
              <xdr:from>
                <xdr:col>38</xdr:col>
                <xdr:colOff>30</xdr:colOff>
                <xdr:row>4</xdr:row>
                <xdr:rowOff>16</xdr:rowOff>
              </xdr:from>
              <xdr:to>
                <xdr:col>39</xdr:col>
                <xdr:colOff>172</xdr:colOff>
                <xdr:row>8</xdr:row>
                <xdr:rowOff>12</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A Material in a Pass-through Step can only be Moved Next, (not Dispatched or Tracked-In)</t>
        </r>
      </text>
      <mc:AlternateContent>
        <mc:Choice Requires="v2">
          <commentPr autoFill="true" autoScale="false" colHidden="true" locked="false" rowHidden="false" textHAlign="justify" textVAlign="top">
            <anchor moveWithCells="false" sizeWithCells="false">
              <xdr:from>
                <xdr:col>37</xdr:col>
                <xdr:colOff>126</xdr:colOff>
                <xdr:row>1</xdr:row>
                <xdr:rowOff>16</xdr:rowOff>
              </xdr:from>
              <xdr:to>
                <xdr:col>39</xdr:col>
                <xdr:colOff>48</xdr:colOff>
                <xdr:row>5</xdr:row>
                <xdr:rowOff>8</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0 means that only the topmost material state is tracked
1 means that the first level of Sub-materials are also tracked
2 means that the second level of Sub-materials are also tracked</t>
        </r>
      </text>
      <mc:AlternateContent>
        <mc:Choice Requires="v2">
          <commentPr autoFill="true" autoScale="false" colHidden="true" locked="false" rowHidden="false" textHAlign="justify" textVAlign="top">
            <anchor moveWithCells="false" sizeWithCells="false">
              <xdr:from>
                <xdr:col>37</xdr:col>
                <xdr:colOff>148</xdr:colOff>
                <xdr:row>5</xdr:row>
                <xdr:rowOff>4</xdr:rowOff>
              </xdr:from>
              <xdr:to>
                <xdr:col>39</xdr:col>
                <xdr:colOff>80</xdr:colOff>
                <xdr:row>9</xdr:row>
                <xdr:rowOff>16</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
MainMaterial: losses for main material screen is shown during the track out
None: no loss screen is shown during the track out
SubMaterials: losses for sub materials screen is shown during the track out</t>
        </r>
      </text>
      <mc:AlternateContent>
        <mc:Choice Requires="v2">
          <commentPr autoFill="true" autoScale="false" colHidden="true" locked="false" rowHidden="false" textHAlign="justify" textVAlign="top">
            <anchor moveWithCells="false" sizeWithCells="false">
              <xdr:from>
                <xdr:col>42</xdr:col>
                <xdr:colOff>154</xdr:colOff>
                <xdr:row>4</xdr:row>
                <xdr:rowOff>12</xdr:rowOff>
              </xdr:from>
              <xdr:to>
                <xdr:col>45</xdr:col>
                <xdr:colOff>52</xdr:colOff>
                <xdr:row>10</xdr:row>
                <xdr:rowOff>8</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Whether the Split and Track-Out will be used for the Step</t>
        </r>
      </text>
      <mc:AlternateContent>
        <mc:Choice Requires="v2">
          <commentPr autoFill="true" autoScale="false" colHidden="true" locked="false" rowHidden="false" textHAlign="justify" textVAlign="top">
            <anchor moveWithCells="false" sizeWithCells="false">
              <xdr:from>
                <xdr:col>44</xdr:col>
                <xdr:colOff>74</xdr:colOff>
                <xdr:row>0</xdr:row>
                <xdr:rowOff>0</xdr:rowOff>
              </xdr:from>
              <xdr:to>
                <xdr:col>45</xdr:col>
                <xdr:colOff>56</xdr:colOff>
                <xdr:row>3</xdr:row>
                <xdr:rowOff>16</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Whether units at the step level must be set for Material in the Step</t>
        </r>
      </text>
      <mc:AlternateContent>
        <mc:Choice Requires="v2">
          <commentPr autoFill="true" autoScale="false" colHidden="true" locked="false" rowHidden="false" textHAlign="justify" textVAlign="top">
            <anchor moveWithCells="false" sizeWithCells="false">
              <xdr:from>
                <xdr:col>43</xdr:col>
                <xdr:colOff>188</xdr:colOff>
                <xdr:row>2</xdr:row>
                <xdr:rowOff>16</xdr:rowOff>
              </xdr:from>
              <xdr:to>
                <xdr:col>44</xdr:col>
                <xdr:colOff>114</xdr:colOff>
                <xdr:row>6</xdr:row>
                <xdr:rowOff>8</xdr:rowOff>
              </xdr:to>
            </anchor>
          </commentPr>
        </mc:Choice>
        <mc:Fallback/>
      </mc:AlternateContent>
    </comment>
    <comment ref="X1" authorId="0">
      <text>
        <r>
          <rPr>
            <sz val="10"/>
            <rFont val="Arial"/>
            <family val="2"/>
          </rPr>
          <t xml:space="preserve">José Romeu Gonçalves:
</t>
        </r>
        <r>
          <rPr>
            <sz val="9"/>
            <color rgb="FF000000"/>
            <rFont val="Tahoma"/>
            <family val="2"/>
            <charset val="1"/>
          </rPr>
          <t xml:space="preserve">
This is only applicable for binning. When set, if the Material is graded at Track-out, it will automatically be split by product</t>
        </r>
      </text>
      <mc:AlternateContent>
        <mc:Choice Requires="v2">
          <commentPr autoFill="true" autoScale="false" colHidden="true" locked="false" rowHidden="false" textHAlign="justify" textVAlign="top">
            <anchor moveWithCells="false" sizeWithCells="false">
              <xdr:from>
                <xdr:col>50</xdr:col>
                <xdr:colOff>48</xdr:colOff>
                <xdr:row>2</xdr:row>
                <xdr:rowOff>0</xdr:rowOff>
              </xdr:from>
              <xdr:to>
                <xdr:col>52</xdr:col>
                <xdr:colOff>96</xdr:colOff>
                <xdr:row>5</xdr:row>
                <xdr:rowOff>16</xdr:rowOff>
              </xdr:to>
            </anchor>
          </commentPr>
        </mc:Choice>
        <mc:Fallback/>
      </mc:AlternateContent>
    </comment>
    <comment ref="Z1" authorId="0">
      <text>
        <r>
          <rPr>
            <sz val="10"/>
            <rFont val="Arial"/>
            <family val="2"/>
          </rPr>
          <t xml:space="preserve">José Romeu Gonçalves:
</t>
        </r>
        <r>
          <rPr>
            <sz val="9"/>
            <color rgb="FF000000"/>
            <rFont val="Tahoma"/>
            <family val="2"/>
            <charset val="1"/>
          </rPr>
          <t xml:space="preserve">
When a Step marks the Product completion, if a Material arrives at the Step and it is associated to a Production Order, the system will enforce that the Material Product and Units match the Production Order Product and Units and the Material will be considered Completed in the Production Order</t>
        </r>
      </text>
      <mc:AlternateContent>
        <mc:Choice Requires="v2">
          <commentPr autoFill="true" autoScale="false" colHidden="true" locked="false" rowHidden="false" textHAlign="justify" textVAlign="top">
            <anchor moveWithCells="false" sizeWithCells="false">
              <xdr:from>
                <xdr:col>51</xdr:col>
                <xdr:colOff>108</xdr:colOff>
                <xdr:row>4</xdr:row>
                <xdr:rowOff>16</xdr:rowOff>
              </xdr:from>
              <xdr:to>
                <xdr:col>55</xdr:col>
                <xdr:colOff>50</xdr:colOff>
                <xdr:row>10</xdr:row>
                <xdr:rowOff>4</xdr:rowOff>
              </xdr:to>
            </anchor>
          </commentPr>
        </mc:Choice>
        <mc:Fallback/>
      </mc:AlternateContent>
    </comment>
    <comment ref="AC1" authorId="0">
      <text>
        <r>
          <rPr>
            <sz val="10"/>
            <rFont val="Arial"/>
            <family val="2"/>
          </rPr>
          <t xml:space="preserve">José Romeu Gonçalves:
</t>
        </r>
        <r>
          <rPr>
            <sz val="9"/>
            <color rgb="FF000000"/>
            <rFont val="Tahoma"/>
            <family val="2"/>
            <charset val="1"/>
          </rPr>
          <t xml:space="preserve">
Defines whether any required instrument must be associated with the resource when tracking-in material</t>
        </r>
      </text>
      <mc:AlternateContent>
        <mc:Choice Requires="v2">
          <commentPr autoFill="true" autoScale="false" colHidden="true" locked="false" rowHidden="false" textHAlign="justify" textVAlign="top">
            <anchor moveWithCells="false" sizeWithCells="false">
              <xdr:from>
                <xdr:col>58</xdr:col>
                <xdr:colOff>12</xdr:colOff>
                <xdr:row>1</xdr:row>
                <xdr:rowOff>16</xdr:rowOff>
              </xdr:from>
              <xdr:to>
                <xdr:col>59</xdr:col>
                <xdr:colOff>206</xdr:colOff>
                <xdr:row>8</xdr:row>
                <xdr:rowOff>12</xdr:rowOff>
              </xdr:to>
            </anchor>
          </commentPr>
        </mc:Choice>
        <mc:Fallback/>
      </mc:AlternateContent>
    </comment>
    <comment ref="AD1" authorId="0">
      <text>
        <r>
          <rPr>
            <sz val="10"/>
            <rFont val="Arial"/>
            <family val="2"/>
          </rPr>
          <t xml:space="preserve">José Romeu Gonçalves:
</t>
        </r>
        <r>
          <rPr>
            <sz val="9"/>
            <color rgb="FF000000"/>
            <rFont val="Tahoma"/>
            <family val="2"/>
            <charset val="1"/>
          </rPr>
          <t xml:space="preserve">
Defines whether any required instrument must be associated with the resource when tracking-out the last material at the resource</t>
        </r>
      </text>
      <mc:AlternateContent>
        <mc:Choice Requires="v2">
          <commentPr autoFill="true" autoScale="false" colHidden="true" locked="false" rowHidden="false" textHAlign="justify" textVAlign="top">
            <anchor moveWithCells="false" sizeWithCells="false">
              <xdr:from>
                <xdr:col>59</xdr:col>
                <xdr:colOff>28</xdr:colOff>
                <xdr:row>5</xdr:row>
                <xdr:rowOff>4</xdr:rowOff>
              </xdr:from>
              <xdr:to>
                <xdr:col>61</xdr:col>
                <xdr:colOff>84</xdr:colOff>
                <xdr:row>9</xdr:row>
                <xdr:rowOff>12</xdr:rowOff>
              </xdr:to>
            </anchor>
          </commentPr>
        </mc:Choice>
        <mc:Fallback/>
      </mc:AlternateContent>
    </comment>
    <comment ref="AF1" authorId="0">
      <text>
        <r>
          <rPr>
            <sz val="10"/>
            <rFont val="Arial"/>
            <family val="2"/>
          </rPr>
          <t xml:space="preserve">José Romeu Gonçalves:
</t>
        </r>
        <r>
          <rPr>
            <sz val="9"/>
            <color rgb="FF000000"/>
            <rFont val="Tahoma"/>
            <family val="2"/>
            <charset val="1"/>
          </rPr>
          <t xml:space="preserve">
</t>
        </r>
        <r>
          <rPr>
            <u val="single"/>
            <sz val="9"/>
            <color rgb="FF000000"/>
            <rFont val="Tahoma"/>
            <family val="2"/>
            <charset val="1"/>
          </rPr>
          <t xml:space="preserve">CreateNone</t>
        </r>
        <r>
          <rPr>
            <sz val="9"/>
            <color rgb="FF000000"/>
            <rFont val="Tahoma"/>
            <family val="2"/>
            <charset val="1"/>
          </rPr>
          <t xml:space="preserve">: no checklist instance is created
</t>
        </r>
        <r>
          <rPr>
            <u val="single"/>
            <sz val="9"/>
            <color rgb="FF000000"/>
            <rFont val="Tahoma"/>
            <family val="2"/>
            <charset val="1"/>
          </rPr>
          <t xml:space="preserve">CreateNew</t>
        </r>
        <r>
          <rPr>
            <sz val="9"/>
            <color rgb="FF000000"/>
            <rFont val="Tahoma"/>
            <family val="2"/>
            <charset val="1"/>
          </rPr>
          <t xml:space="preserve">: a new checklist instance is created
</t>
        </r>
        <r>
          <rPr>
            <u val="single"/>
            <sz val="9"/>
            <color rgb="FF000000"/>
            <rFont val="Tahoma"/>
            <family val="2"/>
            <charset val="1"/>
          </rPr>
          <t xml:space="preserve">CreateCopy</t>
        </r>
        <r>
          <rPr>
            <sz val="9"/>
            <color rgb="FF000000"/>
            <rFont val="Tahoma"/>
            <family val="2"/>
            <charset val="1"/>
          </rPr>
          <t xml:space="preserve">: a copy of the existing checklist instance in its current state is copied to the child material(s);</t>
        </r>
      </text>
      <mc:AlternateContent>
        <mc:Choice Requires="v2">
          <commentPr autoFill="true" autoScale="false" colHidden="true" locked="false" rowHidden="false" textHAlign="justify" textVAlign="top">
            <anchor moveWithCells="false" sizeWithCells="false">
              <xdr:from>
                <xdr:col>59</xdr:col>
                <xdr:colOff>108</xdr:colOff>
                <xdr:row>1</xdr:row>
                <xdr:rowOff>12</xdr:rowOff>
              </xdr:from>
              <xdr:to>
                <xdr:col>62</xdr:col>
                <xdr:colOff>76</xdr:colOff>
                <xdr:row>8</xdr:row>
                <xdr:rowOff>4</xdr:rowOff>
              </xdr:to>
            </anchor>
          </commentPr>
        </mc:Choice>
        <mc:Fallback/>
      </mc:AlternateContent>
    </comment>
    <comment ref="AG1" authorId="0">
      <text>
        <r>
          <rPr>
            <sz val="10"/>
            <rFont val="Arial"/>
            <family val="2"/>
          </rPr>
          <t xml:space="preserve">José Romeu Gonçalves:
</t>
        </r>
        <r>
          <rPr>
            <sz val="9"/>
            <color rgb="FF000000"/>
            <rFont val="Tahoma"/>
            <family val="2"/>
            <charset val="1"/>
          </rPr>
          <t xml:space="preserve">
whether when using mapping and recording losses in the GUI, the loss classifications should be considered mandatory or not in this Step.</t>
        </r>
      </text>
      <mc:AlternateContent>
        <mc:Choice Requires="v2">
          <commentPr autoFill="true" autoScale="false" colHidden="true" locked="false" rowHidden="false" textHAlign="justify" textVAlign="top">
            <anchor moveWithCells="false" sizeWithCells="false">
              <xdr:from>
                <xdr:col>60</xdr:col>
                <xdr:colOff>50</xdr:colOff>
                <xdr:row>2</xdr:row>
                <xdr:rowOff>0</xdr:rowOff>
              </xdr:from>
              <xdr:to>
                <xdr:col>61</xdr:col>
                <xdr:colOff>145</xdr:colOff>
                <xdr:row>6</xdr:row>
                <xdr:rowOff>4</xdr:rowOff>
              </xdr:to>
            </anchor>
          </commentPr>
        </mc:Choice>
        <mc:Fallback/>
      </mc:AlternateContent>
    </comment>
    <comment ref="AH1" authorId="0">
      <text>
        <r>
          <rPr>
            <sz val="10"/>
            <rFont val="Arial"/>
            <family val="2"/>
          </rPr>
          <t xml:space="preserve">José Romeu Gonçalves:
</t>
        </r>
        <r>
          <rPr>
            <sz val="9"/>
            <color rgb="FF000000"/>
            <rFont val="Tahoma"/>
            <family val="2"/>
            <charset val="1"/>
          </rPr>
          <t xml:space="preserve">
Note: Logistic Actions include Splits, Splits For Step and Merges</t>
        </r>
      </text>
      <mc:AlternateContent>
        <mc:Choice Requires="v2">
          <commentPr autoFill="true" autoScale="false" colHidden="true" locked="false" rowHidden="false" textHAlign="justify" textVAlign="top">
            <anchor moveWithCells="false" sizeWithCells="false">
              <xdr:from>
                <xdr:col>64</xdr:col>
                <xdr:colOff>140</xdr:colOff>
                <xdr:row>3</xdr:row>
                <xdr:rowOff>16</xdr:rowOff>
              </xdr:from>
              <xdr:to>
                <xdr:col>66</xdr:col>
                <xdr:colOff>56</xdr:colOff>
                <xdr:row>7</xdr:row>
                <xdr:rowOff>4</xdr:rowOff>
              </xdr:to>
            </anchor>
          </commentPr>
        </mc:Choice>
        <mc:Fallback/>
      </mc:AlternateContent>
    </comment>
    <comment ref="AI1" authorId="0">
      <text>
        <r>
          <rPr>
            <sz val="10"/>
            <rFont val="Arial"/>
            <family val="2"/>
          </rPr>
          <t xml:space="preserve">José Romeu Gonçalves:
</t>
        </r>
        <r>
          <rPr>
            <sz val="9"/>
            <color rgb="FF000000"/>
            <rFont val="Tahoma"/>
            <family val="2"/>
            <charset val="1"/>
          </rPr>
          <t xml:space="preserve">Defines whether Material Labels must be printed automatically in this Step for specific Material Operations</t>
        </r>
      </text>
      <mc:AlternateContent>
        <mc:Choice Requires="v2">
          <commentPr autoFill="true" autoScale="false" colHidden="true" locked="false" rowHidden="false" textHAlign="justify" textVAlign="top">
            <anchor moveWithCells="false" sizeWithCells="false">
              <xdr:from>
                <xdr:col>66</xdr:col>
                <xdr:colOff>40</xdr:colOff>
                <xdr:row>0</xdr:row>
                <xdr:rowOff>0</xdr:rowOff>
              </xdr:from>
              <xdr:to>
                <xdr:col>67</xdr:col>
                <xdr:colOff>20</xdr:colOff>
                <xdr:row>3</xdr:row>
                <xdr:rowOff>16</xdr:rowOff>
              </xdr:to>
            </anchor>
          </commentPr>
        </mc:Choice>
        <mc:Fallback/>
      </mc:AlternateContent>
    </comment>
    <comment ref="AJ1" authorId="0">
      <text>
        <r>
          <rPr>
            <sz val="10"/>
            <rFont val="Arial"/>
            <family val="2"/>
          </rPr>
          <t xml:space="preserve">José Romeu Gonçalves:
</t>
        </r>
        <r>
          <rPr>
            <sz val="9"/>
            <color rgb="FF000000"/>
            <rFont val="Tahoma"/>
            <family val="2"/>
            <charset val="1"/>
          </rPr>
          <t xml:space="preserve">
Services must be of type Storage</t>
        </r>
      </text>
      <mc:AlternateContent>
        <mc:Choice Requires="v2">
          <commentPr autoFill="true" autoScale="false" colHidden="true" locked="false" rowHidden="false" textHAlign="justify" textVAlign="top">
            <anchor moveWithCells="false" sizeWithCells="false">
              <xdr:from>
                <xdr:col>66</xdr:col>
                <xdr:colOff>164</xdr:colOff>
                <xdr:row>2</xdr:row>
                <xdr:rowOff>16</xdr:rowOff>
              </xdr:from>
              <xdr:to>
                <xdr:col>67</xdr:col>
                <xdr:colOff>140</xdr:colOff>
                <xdr:row>5</xdr:row>
                <xdr:rowOff>12</xdr:rowOff>
              </xdr:to>
            </anchor>
          </commentPr>
        </mc:Choice>
        <mc:Fallback/>
      </mc:AlternateContent>
    </comment>
    <comment ref="AK1" authorId="0">
      <text>
        <r>
          <rPr>
            <sz val="10"/>
            <rFont val="Arial"/>
            <family val="2"/>
          </rPr>
          <t xml:space="preserve">José Romeu Gonçalves:
</t>
        </r>
        <r>
          <rPr>
            <sz val="9"/>
            <color rgb="FF000000"/>
            <rFont val="Tahoma"/>
            <family val="2"/>
            <charset val="1"/>
          </rPr>
          <t xml:space="preserve">
Services must be of type Storage</t>
        </r>
      </text>
      <mc:AlternateContent>
        <mc:Choice Requires="v2">
          <commentPr autoFill="true" autoScale="false" colHidden="true" locked="false" rowHidden="false" textHAlign="justify" textVAlign="top">
            <anchor moveWithCells="false" sizeWithCells="false">
              <xdr:from>
                <xdr:col>66</xdr:col>
                <xdr:colOff>164</xdr:colOff>
                <xdr:row>2</xdr:row>
                <xdr:rowOff>16</xdr:rowOff>
              </xdr:from>
              <xdr:to>
                <xdr:col>67</xdr:col>
                <xdr:colOff>140</xdr:colOff>
                <xdr:row>5</xdr:row>
                <xdr:rowOff>12</xdr:rowOff>
              </xdr:to>
            </anchor>
          </commentPr>
        </mc:Choice>
        <mc:Fallback/>
      </mc:AlternateContent>
    </comment>
    <comment ref="AL1" authorId="0">
      <text>
        <r>
          <rPr>
            <sz val="10"/>
            <rFont val="Arial"/>
            <family val="2"/>
          </rPr>
          <t xml:space="preserve">José Romeu Gonçalves:
</t>
        </r>
        <r>
          <rPr>
            <sz val="9"/>
            <color rgb="FF000000"/>
            <rFont val="Tahoma"/>
            <family val="2"/>
            <charset val="1"/>
          </rPr>
          <t xml:space="preserve">Each Area is delimited by a semi-colon (';')
Cannot select areas from same Facility</t>
        </r>
      </text>
      <mc:AlternateContent>
        <mc:Choice Requires="v2">
          <commentPr autoFill="true" autoScale="false" colHidden="false" locked="false" rowHidden="false" textHAlign="justify" textVAlign="top">
            <anchor moveWithCells="false" sizeWithCells="false">
              <xdr:from>
                <xdr:col>68</xdr:col>
                <xdr:colOff>18</xdr:colOff>
                <xdr:row>5</xdr:row>
                <xdr:rowOff>0</xdr:rowOff>
              </xdr:from>
              <xdr:to>
                <xdr:col>71</xdr:col>
                <xdr:colOff>6</xdr:colOff>
                <xdr:row>8</xdr:row>
                <xdr:rowOff>20</xdr:rowOff>
              </xdr:to>
            </anchor>
          </commentPr>
        </mc:Choice>
        <mc:Fallback/>
      </mc:AlternateContent>
    </comment>
    <comment ref="AU1" authorId="0">
      <text>
        <r>
          <rPr>
            <sz val="10"/>
            <rFont val="Arial"/>
            <family val="2"/>
          </rPr>
          <t xml:space="preserve">José Romeu Gonçalves:
</t>
        </r>
        <r>
          <rPr>
            <sz val="9"/>
            <color rgb="FF000000"/>
            <rFont val="Tahoma"/>
            <family val="2"/>
            <charset val="1"/>
          </rPr>
          <t xml:space="preserve">
fixed costs of using the Step</t>
        </r>
      </text>
      <mc:AlternateContent>
        <mc:Choice Requires="v2">
          <commentPr autoFill="true" autoScale="false" colHidden="false" locked="false" rowHidden="false" textHAlign="justify" textVAlign="top">
            <anchor moveWithCells="false" sizeWithCells="false">
              <xdr:from>
                <xdr:col>74</xdr:col>
                <xdr:colOff>208</xdr:colOff>
                <xdr:row>1</xdr:row>
                <xdr:rowOff>16</xdr:rowOff>
              </xdr:from>
              <xdr:to>
                <xdr:col>75</xdr:col>
                <xdr:colOff>226</xdr:colOff>
                <xdr:row>4</xdr:row>
                <xdr:rowOff>12</xdr:rowOff>
              </xdr:to>
            </anchor>
          </commentPr>
        </mc:Choice>
        <mc:Fallback/>
      </mc:AlternateContent>
    </comment>
    <comment ref="AV1" authorId="0">
      <text>
        <r>
          <rPr>
            <sz val="10"/>
            <rFont val="Arial"/>
            <family val="2"/>
          </rPr>
          <t xml:space="preserve">José Romeu Gonçalves:
</t>
        </r>
        <r>
          <rPr>
            <sz val="9"/>
            <color rgb="FF000000"/>
            <rFont val="Tahoma"/>
            <family val="2"/>
            <charset val="1"/>
          </rPr>
          <t xml:space="preserve">
costs per processed unit in this Step. It should not include resource (machine) costs.</t>
        </r>
      </text>
      <mc:AlternateContent>
        <mc:Choice Requires="v2">
          <commentPr autoFill="true" autoScale="false" colHidden="false" locked="false" rowHidden="false" textHAlign="justify" textVAlign="top">
            <anchor moveWithCells="false" sizeWithCells="false">
              <xdr:from>
                <xdr:col>74</xdr:col>
                <xdr:colOff>208</xdr:colOff>
                <xdr:row>2</xdr:row>
                <xdr:rowOff>16</xdr:rowOff>
              </xdr:from>
              <xdr:to>
                <xdr:col>76</xdr:col>
                <xdr:colOff>32</xdr:colOff>
                <xdr:row>6</xdr:row>
                <xdr:rowOff>4</xdr:rowOff>
              </xdr:to>
            </anchor>
          </commentPr>
        </mc:Choice>
        <mc:Fallback/>
      </mc:AlternateContent>
    </comment>
    <comment ref="AW1" authorId="0">
      <text>
        <r>
          <rPr>
            <sz val="10"/>
            <rFont val="Arial"/>
            <family val="2"/>
          </rPr>
          <t xml:space="preserve">José Romeu Gonçalves:
</t>
        </r>
        <r>
          <rPr>
            <sz val="9"/>
            <color rgb="FF000000"/>
            <rFont val="Tahoma"/>
            <family val="2"/>
            <charset val="1"/>
          </rPr>
          <t xml:space="preserve">
Costs of this Step per hour</t>
        </r>
      </text>
      <mc:AlternateContent>
        <mc:Choice Requires="v2">
          <commentPr autoFill="true" autoScale="false" colHidden="false" locked="false" rowHidden="false" textHAlign="justify" textVAlign="top">
            <anchor moveWithCells="false" sizeWithCells="false">
              <xdr:from>
                <xdr:col>74</xdr:col>
                <xdr:colOff>208</xdr:colOff>
                <xdr:row>1</xdr:row>
                <xdr:rowOff>8</xdr:rowOff>
              </xdr:from>
              <xdr:to>
                <xdr:col>75</xdr:col>
                <xdr:colOff>22</xdr:colOff>
                <xdr:row>3</xdr:row>
                <xdr:rowOff>16</xdr:rowOff>
              </xdr:to>
            </anchor>
          </commentPr>
        </mc:Choice>
        <mc:Fallback/>
      </mc:AlternateContent>
    </comment>
    <comment ref="AX1" authorId="0">
      <text>
        <r>
          <rPr>
            <sz val="10"/>
            <rFont val="Arial"/>
            <family val="2"/>
          </rPr>
          <t xml:space="preserve">José Romeu Gonçalves:
</t>
        </r>
        <r>
          <rPr>
            <sz val="9"/>
            <color rgb="FF000000"/>
            <rFont val="Tahoma"/>
            <family val="2"/>
            <charset val="1"/>
          </rPr>
          <t xml:space="preserve">
fixed costs of using this Resource.</t>
        </r>
      </text>
      <mc:AlternateContent>
        <mc:Choice Requires="v2">
          <commentPr autoFill="true" autoScale="false" colHidden="false" locked="false" rowHidden="false" textHAlign="justify" textVAlign="top">
            <anchor moveWithCells="false" sizeWithCells="false">
              <xdr:from>
                <xdr:col>74</xdr:col>
                <xdr:colOff>208</xdr:colOff>
                <xdr:row>2</xdr:row>
                <xdr:rowOff>0</xdr:rowOff>
              </xdr:from>
              <xdr:to>
                <xdr:col>75</xdr:col>
                <xdr:colOff>22</xdr:colOff>
                <xdr:row>4</xdr:row>
                <xdr:rowOff>20</xdr:rowOff>
              </xdr:to>
            </anchor>
          </commentPr>
        </mc:Choice>
        <mc:Fallback/>
      </mc:AlternateContent>
    </comment>
    <comment ref="AY1" authorId="0">
      <text>
        <r>
          <rPr>
            <sz val="10"/>
            <rFont val="Arial"/>
            <family val="2"/>
          </rPr>
          <t xml:space="preserve">José Romeu Gonçalves:
</t>
        </r>
        <r>
          <rPr>
            <sz val="9"/>
            <color rgb="FF000000"/>
            <rFont val="Tahoma"/>
            <family val="2"/>
            <charset val="1"/>
          </rPr>
          <t xml:space="preserve">
Costs per processed unit using this Resource</t>
        </r>
      </text>
      <mc:AlternateContent>
        <mc:Choice Requires="v2">
          <commentPr autoFill="true" autoScale="false" colHidden="false" locked="false" rowHidden="false" textHAlign="justify" textVAlign="top">
            <anchor moveWithCells="false" sizeWithCells="false">
              <xdr:from>
                <xdr:col>74</xdr:col>
                <xdr:colOff>208</xdr:colOff>
                <xdr:row>3</xdr:row>
                <xdr:rowOff>12</xdr:rowOff>
              </xdr:from>
              <xdr:to>
                <xdr:col>75</xdr:col>
                <xdr:colOff>138</xdr:colOff>
                <xdr:row>6</xdr:row>
                <xdr:rowOff>20</xdr:rowOff>
              </xdr:to>
            </anchor>
          </commentPr>
        </mc:Choice>
        <mc:Fallback/>
      </mc:AlternateContent>
    </comment>
    <comment ref="AZ1" authorId="0">
      <text>
        <r>
          <rPr>
            <sz val="10"/>
            <rFont val="Arial"/>
            <family val="2"/>
          </rPr>
          <t xml:space="preserve">José Romeu Gonçalves:
</t>
        </r>
        <r>
          <rPr>
            <sz val="9"/>
            <color rgb="FF000000"/>
            <rFont val="Tahoma"/>
            <family val="2"/>
            <charset val="1"/>
          </rPr>
          <t xml:space="preserve">
Costs per hour of using this Resource</t>
        </r>
      </text>
      <mc:AlternateContent>
        <mc:Choice Requires="v2">
          <commentPr autoFill="true" autoScale="false" colHidden="false" locked="false" rowHidden="false" textHAlign="justify" textVAlign="top">
            <anchor moveWithCells="false" sizeWithCells="false">
              <xdr:from>
                <xdr:col>76</xdr:col>
                <xdr:colOff>80</xdr:colOff>
                <xdr:row>2</xdr:row>
                <xdr:rowOff>4</xdr:rowOff>
              </xdr:from>
              <xdr:to>
                <xdr:col>77</xdr:col>
                <xdr:colOff>82</xdr:colOff>
                <xdr:row>5</xdr:row>
                <xdr:rowOff>12</xdr:rowOff>
              </xdr:to>
            </anchor>
          </commentPr>
        </mc:Choice>
        <mc:Fallback/>
      </mc:AlternateContent>
    </comment>
    <comment ref="BA1" authorId="0">
      <text>
        <r>
          <rPr>
            <sz val="10"/>
            <rFont val="Arial"/>
            <family val="2"/>
          </rPr>
          <t xml:space="preserve">José Romeu Gonçalves:
</t>
        </r>
        <r>
          <rPr>
            <sz val="9"/>
            <color rgb="FF000000"/>
            <rFont val="Tahoma"/>
            <family val="2"/>
            <charset val="1"/>
          </rPr>
          <t xml:space="preserve">
Standard fixed cost for the step</t>
        </r>
      </text>
      <mc:AlternateContent>
        <mc:Choice Requires="v2">
          <commentPr autoFill="true" autoScale="false" colHidden="false" locked="false" rowHidden="false" textHAlign="justify" textVAlign="top">
            <anchor moveWithCells="false" sizeWithCells="false">
              <xdr:from>
                <xdr:col>76</xdr:col>
                <xdr:colOff>124</xdr:colOff>
                <xdr:row>2</xdr:row>
                <xdr:rowOff>0</xdr:rowOff>
              </xdr:from>
              <xdr:to>
                <xdr:col>77</xdr:col>
                <xdr:colOff>118</xdr:colOff>
                <xdr:row>4</xdr:row>
                <xdr:rowOff>16</xdr:rowOff>
              </xdr:to>
            </anchor>
          </commentPr>
        </mc:Choice>
        <mc:Fallback/>
      </mc:AlternateContent>
    </comment>
    <comment ref="BB1" authorId="0">
      <text>
        <r>
          <rPr>
            <sz val="10"/>
            <rFont val="Arial"/>
            <family val="2"/>
          </rPr>
          <t xml:space="preserve">José Romeu Gonçalves:
</t>
        </r>
        <r>
          <rPr>
            <sz val="9"/>
            <color rgb="FF000000"/>
            <rFont val="Tahoma"/>
            <family val="2"/>
            <charset val="1"/>
          </rPr>
          <t xml:space="preserve">
For Sampling Plan</t>
        </r>
      </text>
      <mc:AlternateContent>
        <mc:Choice Requires="v2">
          <commentPr autoFill="true" autoScale="false" colHidden="false" locked="false" rowHidden="false" textHAlign="justify" textVAlign="top">
            <anchor moveWithCells="false" sizeWithCells="false">
              <xdr:from>
                <xdr:col>78</xdr:col>
                <xdr:colOff>10</xdr:colOff>
                <xdr:row>1</xdr:row>
                <xdr:rowOff>8</xdr:rowOff>
              </xdr:from>
              <xdr:to>
                <xdr:col>79</xdr:col>
                <xdr:colOff>-187</xdr:colOff>
                <xdr:row>4</xdr:row>
                <xdr:rowOff>4</xdr:rowOff>
              </xdr:to>
            </anchor>
          </commentPr>
        </mc:Choice>
        <mc:Fallback/>
      </mc:AlternateContent>
    </comment>
    <comment ref="BC1" authorId="0">
      <text>
        <r>
          <rPr>
            <sz val="10"/>
            <rFont val="Arial"/>
            <family val="2"/>
          </rPr>
          <t xml:space="preserve">Taken from the Lookup Table StepMaturity.
Used in SamplingPlan Context</t>
        </r>
      </text>
      <mc:AlternateContent>
        <mc:Choice Requires="v2">
          <commentPr autoFill="true" autoScale="false" colHidden="false" locked="false" rowHidden="false" textHAlign="justify" textVAlign="top">
            <anchor moveWithCells="false" sizeWithCells="false">
              <xdr:from>
                <xdr:col>78</xdr:col>
                <xdr:colOff>10</xdr:colOff>
                <xdr:row>1</xdr:row>
                <xdr:rowOff>16</xdr:rowOff>
              </xdr:from>
              <xdr:to>
                <xdr:col>79</xdr:col>
                <xdr:colOff>2</xdr:colOff>
                <xdr:row>3</xdr:row>
                <xdr:rowOff>20</xdr:rowOff>
              </xdr:to>
            </anchor>
          </commentPr>
        </mc:Choice>
        <mc:Fallback/>
      </mc:AlternateContent>
    </comment>
    <comment ref="BD1" authorId="0">
      <text>
        <r>
          <rPr>
            <sz val="10"/>
            <rFont val="Arial"/>
            <family val="2"/>
          </rPr>
          <t xml:space="preserve">José Romeu Gonçalves:
</t>
        </r>
        <r>
          <rPr>
            <sz val="9"/>
            <color rgb="FF000000"/>
            <rFont val="Tahoma"/>
            <family val="2"/>
            <charset val="1"/>
          </rPr>
          <t xml:space="preserve">
For Sampling Pattern</t>
        </r>
      </text>
      <mc:AlternateContent>
        <mc:Choice Requires="v2">
          <commentPr autoFill="true" autoScale="false" colHidden="false" locked="false" rowHidden="false" textHAlign="justify" textVAlign="top">
            <anchor moveWithCells="false" sizeWithCells="false">
              <xdr:from>
                <xdr:col>78</xdr:col>
                <xdr:colOff>258</xdr:colOff>
                <xdr:row>1</xdr:row>
                <xdr:rowOff>16</xdr:rowOff>
              </xdr:from>
              <xdr:to>
                <xdr:col>79</xdr:col>
                <xdr:colOff>-41</xdr:colOff>
                <xdr:row>4</xdr:row>
                <xdr:rowOff>8</xdr:rowOff>
              </xdr:to>
            </anchor>
          </commentPr>
        </mc:Choice>
        <mc:Fallback/>
      </mc:AlternateContent>
    </comment>
    <comment ref="BM1" authorId="0">
      <text>
        <r>
          <rPr>
            <sz val="10"/>
            <rFont val="Arial"/>
            <family val="2"/>
          </rPr>
          <t xml:space="preserve">José Romeu Gonçalves:
</t>
        </r>
        <r>
          <rPr>
            <sz val="9"/>
            <color rgb="FF000000"/>
            <rFont val="Tahoma"/>
            <family val="2"/>
            <charset val="1"/>
          </rPr>
          <t xml:space="preserve">What the Step Schedule View should show: Materials or Production Order Steps</t>
        </r>
      </text>
      <mc:AlternateContent>
        <mc:Choice Requires="v2">
          <commentPr autoFill="true" autoScale="false" colHidden="false" locked="false" rowHidden="false" textHAlign="justify" textVAlign="top">
            <anchor moveWithCells="false" sizeWithCells="false">
              <xdr:from>
                <xdr:col>86</xdr:col>
                <xdr:colOff>74</xdr:colOff>
                <xdr:row>0</xdr:row>
                <xdr:rowOff>0</xdr:rowOff>
              </xdr:from>
              <xdr:to>
                <xdr:col>87</xdr:col>
                <xdr:colOff>-7</xdr:colOff>
                <xdr:row>3</xdr:row>
                <xdr:rowOff>16</xdr:rowOff>
              </xdr:to>
            </anchor>
          </commentPr>
        </mc:Choice>
        <mc:Fallback/>
      </mc:AlternateContent>
    </comment>
    <comment ref="BQ1" authorId="0">
      <text>
        <r>
          <rPr>
            <sz val="10"/>
            <rFont val="Arial"/>
            <family val="2"/>
          </rPr>
          <t xml:space="preserve">José Romeu Gonçalves:
</t>
        </r>
        <r>
          <rPr>
            <sz val="9"/>
            <color rgb="FF000000"/>
            <rFont val="Tahoma"/>
            <family val="2"/>
            <charset val="1"/>
          </rPr>
          <t xml:space="preserve">How the Production Order should be broken down</t>
        </r>
      </text>
      <mc:AlternateContent>
        <mc:Choice Requires="v2">
          <commentPr autoFill="true" autoScale="false" colHidden="false" locked="false" rowHidden="false" textHAlign="justify" textVAlign="top">
            <anchor moveWithCells="false" sizeWithCells="false">
              <xdr:from>
                <xdr:col>89</xdr:col>
                <xdr:colOff>142</xdr:colOff>
                <xdr:row>0</xdr:row>
                <xdr:rowOff>0</xdr:rowOff>
              </xdr:from>
              <xdr:to>
                <xdr:col>90</xdr:col>
                <xdr:colOff>58</xdr:colOff>
                <xdr:row>3</xdr:row>
                <xdr:rowOff>16</xdr:rowOff>
              </xdr:to>
            </anchor>
          </commentPr>
        </mc:Choice>
        <mc:Fallback/>
      </mc:AlternateContent>
    </comment>
    <comment ref="BR1" authorId="0">
      <text>
        <r>
          <rPr>
            <sz val="10"/>
            <rFont val="Arial"/>
            <family val="2"/>
          </rPr>
          <t xml:space="preserve">José Romeu Gonçalves:
</t>
        </r>
        <r>
          <rPr>
            <sz val="9"/>
            <color rgb="FF000000"/>
            <rFont val="Tahoma"/>
            <family val="2"/>
            <charset val="1"/>
          </rPr>
          <t xml:space="preserve">
In what size should the order be broken down into</t>
        </r>
      </text>
      <mc:AlternateContent>
        <mc:Choice Requires="v2">
          <commentPr autoFill="true" autoScale="false" colHidden="false" locked="false" rowHidden="false" textHAlign="justify" textVAlign="top">
            <anchor moveWithCells="false" sizeWithCells="false">
              <xdr:from>
                <xdr:col>90</xdr:col>
                <xdr:colOff>78</xdr:colOff>
                <xdr:row>0</xdr:row>
                <xdr:rowOff>0</xdr:rowOff>
              </xdr:from>
              <xdr:to>
                <xdr:col>91</xdr:col>
                <xdr:colOff>0</xdr:colOff>
                <xdr:row>3</xdr:row>
                <xdr:rowOff>16</xdr:rowOff>
              </xdr:to>
            </anchor>
          </commentPr>
        </mc:Choice>
        <mc:Fallback/>
      </mc:AlternateContent>
    </comment>
    <comment ref="BT1" authorId="0">
      <text>
        <r>
          <rPr>
            <sz val="10"/>
            <rFont val="Arial"/>
            <family val="2"/>
          </rPr>
          <t xml:space="preserve">José Romeu Gonçalves:
</t>
        </r>
        <r>
          <rPr>
            <sz val="9"/>
            <color rgb="FF000000"/>
            <rFont val="Tahoma"/>
            <family val="2"/>
            <charset val="1"/>
          </rPr>
          <t xml:space="preserve">
Lookup Table Value</t>
        </r>
      </text>
      <mc:AlternateContent>
        <mc:Choice Requires="v2">
          <commentPr autoFill="true" autoScale="false" colHidden="false" locked="false" rowHidden="false" textHAlign="justify" textVAlign="top">
            <anchor moveWithCells="false" sizeWithCells="false">
              <xdr:from>
                <xdr:col>93</xdr:col>
                <xdr:colOff>182</xdr:colOff>
                <xdr:row>0</xdr:row>
                <xdr:rowOff>0</xdr:rowOff>
              </xdr:from>
              <xdr:to>
                <xdr:col>94</xdr:col>
                <xdr:colOff>98</xdr:colOff>
                <xdr:row>3</xdr:row>
                <xdr:rowOff>16</xdr:rowOff>
              </xdr:to>
            </anchor>
          </commentPr>
        </mc:Choice>
        <mc:Fallback/>
      </mc:AlternateContent>
    </comment>
    <comment ref="BU1" authorId="0">
      <text>
        <r>
          <rPr>
            <sz val="10"/>
            <rFont val="Arial"/>
            <family val="2"/>
          </rPr>
          <t xml:space="preserve">José Romeu Gonçalves:
</t>
        </r>
        <r>
          <rPr>
            <sz val="9"/>
            <color rgb="FF000000"/>
            <rFont val="Tahoma"/>
            <family val="2"/>
            <charset val="1"/>
          </rPr>
          <t xml:space="preserve">
Lookup Table Value</t>
        </r>
      </text>
      <mc:AlternateContent>
        <mc:Choice Requires="v2">
          <commentPr autoFill="true" autoScale="false" colHidden="false" locked="false" rowHidden="false" textHAlign="justify" textVAlign="top">
            <anchor moveWithCells="false" sizeWithCells="false">
              <xdr:from>
                <xdr:col>95</xdr:col>
                <xdr:colOff>128</xdr:colOff>
                <xdr:row>0</xdr:row>
                <xdr:rowOff>0</xdr:rowOff>
              </xdr:from>
              <xdr:to>
                <xdr:col>96</xdr:col>
                <xdr:colOff>50</xdr:colOff>
                <xdr:row>3</xdr:row>
                <xdr:rowOff>16</xdr:rowOff>
              </xdr:to>
            </anchor>
          </commentPr>
        </mc:Choice>
        <mc:Fallback/>
      </mc:AlternateContent>
    </comment>
    <comment ref="BV1" authorId="0">
      <text>
        <r>
          <rPr>
            <sz val="10"/>
            <rFont val="Arial"/>
            <family val="2"/>
          </rPr>
          <t xml:space="preserve">José Romeu Gonçalves:
</t>
        </r>
        <r>
          <rPr>
            <sz val="9"/>
            <color rgb="FF000000"/>
            <rFont val="Tahoma"/>
            <family val="2"/>
            <charset val="1"/>
          </rPr>
          <t xml:space="preserve">
Lookup Table Value</t>
        </r>
      </text>
      <mc:AlternateContent>
        <mc:Choice Requires="v2">
          <commentPr autoFill="true" autoScale="false" colHidden="false" locked="false" rowHidden="false" textHAlign="justify" textVAlign="top">
            <anchor moveWithCells="false" sizeWithCells="false">
              <xdr:from>
                <xdr:col>96</xdr:col>
                <xdr:colOff>10</xdr:colOff>
                <xdr:row>0</xdr:row>
                <xdr:rowOff>0</xdr:rowOff>
              </xdr:from>
              <xdr:to>
                <xdr:col>97</xdr:col>
                <xdr:colOff>-71</xdr:colOff>
                <xdr:row>3</xdr:row>
                <xdr:rowOff>16</xdr:rowOff>
              </xdr:to>
            </anchor>
          </commentPr>
        </mc:Choice>
        <mc:Fallback/>
      </mc:AlternateContent>
    </comment>
    <comment ref="BW1" authorId="0">
      <text>
        <r>
          <rPr>
            <sz val="10"/>
            <rFont val="Arial"/>
            <family val="2"/>
          </rPr>
          <t xml:space="preserve">José Romeu Gonçalves:
</t>
        </r>
        <r>
          <rPr>
            <sz val="9"/>
            <color rgb="FF000000"/>
            <rFont val="Tahoma"/>
            <family val="2"/>
            <charset val="1"/>
          </rPr>
          <t xml:space="preserve">
Lookup Table Value</t>
        </r>
      </text>
      <mc:AlternateContent>
        <mc:Choice Requires="v2">
          <commentPr autoFill="true" autoScale="false" colHidden="false" locked="false" rowHidden="false" textHAlign="justify" textVAlign="top">
            <anchor moveWithCells="false" sizeWithCells="false">
              <xdr:from>
                <xdr:col>96</xdr:col>
                <xdr:colOff>150</xdr:colOff>
                <xdr:row>0</xdr:row>
                <xdr:rowOff>0</xdr:rowOff>
              </xdr:from>
              <xdr:to>
                <xdr:col>97</xdr:col>
                <xdr:colOff>72</xdr:colOff>
                <xdr:row>3</xdr:row>
                <xdr:rowOff>16</xdr:rowOff>
              </xdr:to>
            </anchor>
          </commentPr>
        </mc:Choice>
        <mc:Fallback/>
      </mc:AlternateContent>
    </comment>
  </commentList>
</comments>
</file>

<file path=xl/comments6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F1" authorId="0">
      <text>
        <r>
          <rPr>
            <sz val="10"/>
            <rFont val="Arial"/>
            <family val="2"/>
          </rPr>
          <t xml:space="preserve">José Romeu Gonçalves:
</t>
        </r>
        <r>
          <rPr>
            <sz val="9"/>
            <color rgb="FF000000"/>
            <rFont val="Tahoma"/>
            <family val="2"/>
            <charset val="1"/>
          </rPr>
          <t xml:space="preserve">
Original Step that originated the loss</t>
        </r>
      </text>
      <mc:AlternateContent>
        <mc:Choice Requires="v2">
          <commentPr autoFill="true" autoScale="false" colHidden="false" locked="false" rowHidden="false" textHAlign="justify" textVAlign="top">
            <anchor moveWithCells="false" sizeWithCells="false">
              <xdr:from>
                <xdr:col>1</xdr:col>
                <xdr:colOff>136</xdr:colOff>
                <xdr:row>2</xdr:row>
                <xdr:rowOff>12</xdr:rowOff>
              </xdr:from>
              <xdr:to>
                <xdr:col>2</xdr:col>
                <xdr:colOff>-334</xdr:colOff>
                <xdr:row>5</xdr:row>
                <xdr:rowOff>8</xdr:rowOff>
              </xdr:to>
            </anchor>
          </commentPr>
        </mc:Choice>
        <mc:Fallback/>
      </mc:AlternateContent>
    </comment>
  </commentList>
</comments>
</file>

<file path=xl/comments7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One of these values: MaterialMaterialType, MaterialProduct, MaterialProductGroup, MaterialResource, MaterialModel, MaterialResourceType, MaterialFlow</t>
        </r>
      </text>
      <mc:AlternateContent>
        <mc:Choice Requires="v2">
          <commentPr autoFill="true" autoScale="false" colHidden="false" locked="false" rowHidden="false" textHAlign="justify" textVAlign="top">
            <anchor moveWithCells="false" sizeWithCells="false">
              <xdr:from>
                <xdr:col>3</xdr:col>
                <xdr:colOff>24</xdr:colOff>
                <xdr:row>6</xdr:row>
                <xdr:rowOff>0</xdr:rowOff>
              </xdr:from>
              <xdr:to>
                <xdr:col>7</xdr:col>
                <xdr:colOff>64</xdr:colOff>
                <xdr:row>9</xdr:row>
                <xdr:rowOff>20</xdr:rowOff>
              </xdr:to>
            </anchor>
          </commentPr>
        </mc:Choice>
        <mc:Fallback/>
      </mc:AlternateContent>
    </comment>
  </commentList>
</comments>
</file>

<file path=xl/comments7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From LookupTable InspectionSeverity</t>
        </r>
      </text>
      <mc:AlternateContent>
        <mc:Choice Requires="v2">
          <commentPr autoFill="true" autoScale="false" colHidden="false" locked="false" rowHidden="false" textHAlign="justify" textVAlign="top">
            <anchor moveWithCells="false" sizeWithCells="false">
              <xdr:from>
                <xdr:col>3</xdr:col>
                <xdr:colOff>16</xdr:colOff>
                <xdr:row>2</xdr:row>
                <xdr:rowOff>16</xdr:rowOff>
              </xdr:from>
              <xdr:to>
                <xdr:col>5</xdr:col>
                <xdr:colOff>32</xdr:colOff>
                <xdr:row>6</xdr:row>
                <xdr:rowOff>12</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
From LookupTable InspectionSeverity</t>
        </r>
      </text>
      <mc:AlternateContent>
        <mc:Choice Requires="v2">
          <commentPr autoFill="true" autoScale="false" colHidden="false" locked="false" rowHidden="false" textHAlign="justify" textVAlign="top">
            <anchor moveWithCells="false" sizeWithCells="false">
              <xdr:from>
                <xdr:col>4</xdr:col>
                <xdr:colOff>16</xdr:colOff>
                <xdr:row>0</xdr:row>
                <xdr:rowOff>0</xdr:rowOff>
              </xdr:from>
              <xdr:to>
                <xdr:col>5</xdr:col>
                <xdr:colOff>172</xdr:colOff>
                <xdr:row>3</xdr:row>
                <xdr:rowOff>20</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The direction of the switching rule</t>
        </r>
      </text>
      <mc:AlternateContent>
        <mc:Choice Requires="v2">
          <commentPr autoFill="true" autoScale="false" colHidden="false" locked="false" rowHidden="false" textHAlign="justify" textVAlign="top">
            <anchor moveWithCells="false" sizeWithCells="false">
              <xdr:from>
                <xdr:col>5</xdr:col>
                <xdr:colOff>16</xdr:colOff>
                <xdr:row>0</xdr:row>
                <xdr:rowOff>0</xdr:rowOff>
              </xdr:from>
              <xdr:to>
                <xdr:col>6</xdr:col>
                <xdr:colOff>92</xdr:colOff>
                <xdr:row>6</xdr:row>
                <xdr:rowOff>4</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t>
        </r>
        <r>
          <rPr>
            <b val="true"/>
            <u val="single"/>
            <sz val="9"/>
            <color rgb="FF000000"/>
            <rFont val="Tahoma"/>
            <family val="2"/>
            <charset val="1"/>
          </rPr>
          <t xml:space="preserve">If Direction = Tightening, possible rules are:
</t>
        </r>
        <r>
          <rPr>
            <sz val="9"/>
            <color rgb="FF000000"/>
            <rFont val="Tahoma"/>
            <family val="2"/>
            <charset val="1"/>
          </rPr>
          <t xml:space="preserve">
NorMoreInspectionsFailed
NorMoreFailsFound
NorMoreInspectionsWithFails
NorLessInspectionPerformed
NorMoreInspectionsPassedWithWarning
</t>
        </r>
        <r>
          <rPr>
            <b val="true"/>
            <u val="single"/>
            <sz val="9"/>
            <color rgb="FF000000"/>
            <rFont val="Tahoma"/>
            <family val="2"/>
            <charset val="1"/>
          </rPr>
          <t xml:space="preserve">If Direction = Reducing, possible rules are:
</t>
        </r>
        <r>
          <rPr>
            <sz val="9"/>
            <color rgb="FF000000"/>
            <rFont val="Tahoma"/>
            <family val="2"/>
            <charset val="1"/>
          </rPr>
          <t xml:space="preserve">NorMoreInspectionsPassed
NorLessFailsFound
NorLessInspectionsWithFails
NorMoreInspectionPerformed</t>
        </r>
      </text>
      <mc:AlternateContent>
        <mc:Choice Requires="v2">
          <commentPr autoFill="true" autoScale="false" colHidden="false" locked="false" rowHidden="false" textHAlign="justify" textVAlign="top">
            <anchor moveWithCells="false" sizeWithCells="false">
              <xdr:from>
                <xdr:col>5</xdr:col>
                <xdr:colOff>88</xdr:colOff>
                <xdr:row>0</xdr:row>
                <xdr:rowOff>0</xdr:rowOff>
              </xdr:from>
              <xdr:to>
                <xdr:col>8</xdr:col>
                <xdr:colOff>44</xdr:colOff>
                <xdr:row>13</xdr:row>
                <xdr:rowOff>4</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The parameter to be supplied to the parameter</t>
        </r>
      </text>
      <mc:AlternateContent>
        <mc:Choice Requires="v2">
          <commentPr autoFill="true" autoScale="false" colHidden="false" locked="false" rowHidden="false" textHAlign="justify" textVAlign="top">
            <anchor moveWithCells="false" sizeWithCells="false">
              <xdr:from>
                <xdr:col>5</xdr:col>
                <xdr:colOff>152</xdr:colOff>
                <xdr:row>0</xdr:row>
                <xdr:rowOff>0</xdr:rowOff>
              </xdr:from>
              <xdr:to>
                <xdr:col>7</xdr:col>
                <xdr:colOff>8</xdr:colOff>
                <xdr:row>3</xdr:row>
                <xdr:rowOff>20</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The number of last occurrences if filter type is last occurrences</t>
        </r>
      </text>
      <mc:AlternateContent>
        <mc:Choice Requires="v2">
          <commentPr autoFill="true" autoScale="false" colHidden="false" locked="false" rowHidden="false" textHAlign="justify" textVAlign="top">
            <anchor moveWithCells="false" sizeWithCells="false">
              <xdr:from>
                <xdr:col>9</xdr:col>
                <xdr:colOff>28</xdr:colOff>
                <xdr:row>1</xdr:row>
                <xdr:rowOff>16</xdr:rowOff>
              </xdr:from>
              <xdr:to>
                <xdr:col>10</xdr:col>
                <xdr:colOff>140</xdr:colOff>
                <xdr:row>7</xdr:row>
                <xdr:rowOff>8</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The To default inspection AQL Severity, used for automatic configurations
From LookupTable AQLSeverity</t>
        </r>
      </text>
      <mc:AlternateContent>
        <mc:Choice Requires="v2">
          <commentPr autoFill="true" autoScale="false" colHidden="false" locked="false" rowHidden="false" textHAlign="justify" textVAlign="top">
            <anchor moveWithCells="false" sizeWithCells="false">
              <xdr:from>
                <xdr:col>10</xdr:col>
                <xdr:colOff>68</xdr:colOff>
                <xdr:row>1</xdr:row>
                <xdr:rowOff>12</xdr:rowOff>
              </xdr:from>
              <xdr:to>
                <xdr:col>11</xdr:col>
                <xdr:colOff>144</xdr:colOff>
                <xdr:row>7</xdr:row>
                <xdr:rowOff>8</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The To default inspection AQL Inspection Level, used for automatic configurations
From LookupTable AQLInspectionLevel</t>
        </r>
      </text>
      <mc:AlternateContent>
        <mc:Choice Requires="v2">
          <commentPr autoFill="true" autoScale="false" colHidden="false" locked="false" rowHidden="false" textHAlign="justify" textVAlign="top">
            <anchor moveWithCells="false" sizeWithCells="false">
              <xdr:from>
                <xdr:col>11</xdr:col>
                <xdr:colOff>88</xdr:colOff>
                <xdr:row>1</xdr:row>
                <xdr:rowOff>16</xdr:rowOff>
              </xdr:from>
              <xdr:to>
                <xdr:col>12</xdr:col>
                <xdr:colOff>152</xdr:colOff>
                <xdr:row>7</xdr:row>
                <xdr:rowOff>16</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The To default inspection AQL Acceptance Limit, used for automatic configurations
From LookupTable AQLAcceptanceLimit</t>
        </r>
      </text>
      <mc:AlternateContent>
        <mc:Choice Requires="v2">
          <commentPr autoFill="true" autoScale="false" colHidden="false" locked="false" rowHidden="false" textHAlign="justify" textVAlign="top">
            <anchor moveWithCells="false" sizeWithCells="false">
              <xdr:from>
                <xdr:col>12</xdr:col>
                <xdr:colOff>100</xdr:colOff>
                <xdr:row>1</xdr:row>
                <xdr:rowOff>16</xdr:rowOff>
              </xdr:from>
              <xdr:to>
                <xdr:col>13</xdr:col>
                <xdr:colOff>184</xdr:colOff>
                <xdr:row>7</xdr:row>
                <xdr:rowOff>8</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The To default inspection counter frequency, used for automatic configurations</t>
        </r>
      </text>
      <mc:AlternateContent>
        <mc:Choice Requires="v2">
          <commentPr autoFill="true" autoScale="false" colHidden="false" locked="false" rowHidden="false" textHAlign="justify" textVAlign="top">
            <anchor moveWithCells="false" sizeWithCells="false">
              <xdr:from>
                <xdr:col>13</xdr:col>
                <xdr:colOff>108</xdr:colOff>
                <xdr:row>1</xdr:row>
                <xdr:rowOff>4</xdr:rowOff>
              </xdr:from>
              <xdr:to>
                <xdr:col>14</xdr:col>
                <xdr:colOff>140</xdr:colOff>
                <xdr:row>5</xdr:row>
                <xdr:rowOff>4</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
The To default inspection percentage, used for automatic configurations</t>
        </r>
      </text>
      <mc:AlternateContent>
        <mc:Choice Requires="v2">
          <commentPr autoFill="true" autoScale="false" colHidden="false" locked="false" rowHidden="false" textHAlign="justify" textVAlign="top">
            <anchor moveWithCells="false" sizeWithCells="false">
              <xdr:from>
                <xdr:col>14</xdr:col>
                <xdr:colOff>80</xdr:colOff>
                <xdr:row>1</xdr:row>
                <xdr:rowOff>8</xdr:rowOff>
              </xdr:from>
              <xdr:to>
                <xdr:col>15</xdr:col>
                <xdr:colOff>20</xdr:colOff>
                <xdr:row>5</xdr:row>
                <xdr:rowOff>8</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The To default inspection fixed quantity, used for automatic configurations</t>
        </r>
      </text>
      <mc:AlternateContent>
        <mc:Choice Requires="v2">
          <commentPr autoFill="true" autoScale="false" colHidden="false" locked="false" rowHidden="false" textHAlign="justify" textVAlign="top">
            <anchor moveWithCells="false" sizeWithCells="false">
              <xdr:from>
                <xdr:col>15</xdr:col>
                <xdr:colOff>60</xdr:colOff>
                <xdr:row>1</xdr:row>
                <xdr:rowOff>4</xdr:rowOff>
              </xdr:from>
              <xdr:to>
                <xdr:col>16</xdr:col>
                <xdr:colOff>136</xdr:colOff>
                <xdr:row>5</xdr:row>
                <xdr:rowOff>8</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The To default inspection maximum acceptable defects (fixed), used for automatic configurations</t>
        </r>
      </text>
      <mc:AlternateContent>
        <mc:Choice Requires="v2">
          <commentPr autoFill="true" autoScale="false" colHidden="false" locked="false" rowHidden="false" textHAlign="justify" textVAlign="top">
            <anchor moveWithCells="false" sizeWithCells="false">
              <xdr:from>
                <xdr:col>15</xdr:col>
                <xdr:colOff>148</xdr:colOff>
                <xdr:row>2</xdr:row>
                <xdr:rowOff>0</xdr:rowOff>
              </xdr:from>
              <xdr:to>
                <xdr:col>17</xdr:col>
                <xdr:colOff>128</xdr:colOff>
                <xdr:row>6</xdr:row>
                <xdr:rowOff>16</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The To default inspection maximum acceptable defects (percentage), used for automatic configurations</t>
        </r>
      </text>
      <mc:AlternateContent>
        <mc:Choice Requires="v2">
          <commentPr autoFill="true" autoScale="false" colHidden="false" locked="false" rowHidden="false" textHAlign="justify" textVAlign="top">
            <anchor moveWithCells="false" sizeWithCells="false">
              <xdr:from>
                <xdr:col>17</xdr:col>
                <xdr:colOff>36</xdr:colOff>
                <xdr:row>2</xdr:row>
                <xdr:rowOff>4</xdr:rowOff>
              </xdr:from>
              <xdr:to>
                <xdr:col>18</xdr:col>
                <xdr:colOff>56</xdr:colOff>
                <xdr:row>7</xdr:row>
                <xdr:rowOff>20</xdr:rowOff>
              </xdr:to>
            </anchor>
          </commentPr>
        </mc:Choice>
        <mc:Fallback/>
      </mc:AlternateContent>
    </comment>
  </commentList>
</comments>
</file>

<file path=xl/comments7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I1" authorId="0">
      <text>
        <r>
          <rPr>
            <sz val="10"/>
            <rFont val="Arial"/>
            <family val="2"/>
          </rPr>
          <t xml:space="preserve">José Romeu Gonçalves:
</t>
        </r>
        <r>
          <rPr>
            <sz val="9"/>
            <color rgb="FF000000"/>
            <rFont val="Tahoma"/>
            <family val="2"/>
            <charset val="1"/>
          </rPr>
          <t xml:space="preserve">
From LookupTable 
InspectionSeverity</t>
        </r>
      </text>
      <mc:AlternateContent>
        <mc:Choice Requires="v2">
          <commentPr autoFill="true" autoScale="false" colHidden="false" locked="false" rowHidden="false" textHAlign="justify" textVAlign="top">
            <anchor moveWithCells="false" sizeWithCells="false">
              <xdr:from>
                <xdr:col>13</xdr:col>
                <xdr:colOff>128</xdr:colOff>
                <xdr:row>0</xdr:row>
                <xdr:rowOff>0</xdr:rowOff>
              </xdr:from>
              <xdr:to>
                <xdr:col>14</xdr:col>
                <xdr:colOff>128</xdr:colOff>
                <xdr:row>3</xdr:row>
                <xdr:rowOff>20</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The default inspection AQL Severity, used for automatic configurations
From LookupTable AQLSeverity</t>
        </r>
      </text>
      <mc:AlternateContent>
        <mc:Choice Requires="v2">
          <commentPr autoFill="true" autoScale="false" colHidden="false" locked="false" rowHidden="false" textHAlign="justify" textVAlign="top">
            <anchor moveWithCells="false" sizeWithCells="false">
              <xdr:from>
                <xdr:col>14</xdr:col>
                <xdr:colOff>84</xdr:colOff>
                <xdr:row>0</xdr:row>
                <xdr:rowOff>0</xdr:rowOff>
              </xdr:from>
              <xdr:to>
                <xdr:col>16</xdr:col>
                <xdr:colOff>44</xdr:colOff>
                <xdr:row>5</xdr:row>
                <xdr:rowOff>16</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The default inspection AQL Inspection Level, used for automatic configurations
From LookupTable AQLInspectionLevel</t>
        </r>
      </text>
      <mc:AlternateContent>
        <mc:Choice Requires="v2">
          <commentPr autoFill="true" autoScale="false" colHidden="false" locked="false" rowHidden="false" textHAlign="justify" textVAlign="top">
            <anchor moveWithCells="false" sizeWithCells="false">
              <xdr:from>
                <xdr:col>15</xdr:col>
                <xdr:colOff>216</xdr:colOff>
                <xdr:row>0</xdr:row>
                <xdr:rowOff>0</xdr:rowOff>
              </xdr:from>
              <xdr:to>
                <xdr:col>16</xdr:col>
                <xdr:colOff>304</xdr:colOff>
                <xdr:row>7</xdr:row>
                <xdr:rowOff>4</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The default inspection AQL Acceptance Limit, used for automatic configurations
From LookupTable AQLAcceptanceLimit</t>
        </r>
      </text>
      <mc:AlternateContent>
        <mc:Choice Requires="v2">
          <commentPr autoFill="true" autoScale="false" colHidden="false" locked="false" rowHidden="false" textHAlign="justify" textVAlign="top">
            <anchor moveWithCells="false" sizeWithCells="false">
              <xdr:from>
                <xdr:col>15</xdr:col>
                <xdr:colOff>280</xdr:colOff>
                <xdr:row>0</xdr:row>
                <xdr:rowOff>0</xdr:rowOff>
              </xdr:from>
              <xdr:to>
                <xdr:col>16</xdr:col>
                <xdr:colOff>296</xdr:colOff>
                <xdr:row>6</xdr:row>
                <xdr:rowOff>20</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The default inspection counter frequency, used for automatic configurations</t>
        </r>
      </text>
      <mc:AlternateContent>
        <mc:Choice Requires="v2">
          <commentPr autoFill="true" autoScale="false" colHidden="false" locked="false" rowHidden="false" textHAlign="justify" textVAlign="top">
            <anchor moveWithCells="false" sizeWithCells="false">
              <xdr:from>
                <xdr:col>16</xdr:col>
                <xdr:colOff>28</xdr:colOff>
                <xdr:row>0</xdr:row>
                <xdr:rowOff>0</xdr:rowOff>
              </xdr:from>
              <xdr:to>
                <xdr:col>17</xdr:col>
                <xdr:colOff>-31</xdr:colOff>
                <xdr:row>7</xdr:row>
                <xdr:rowOff>4</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The default inspection percentage, used for automatic configurations</t>
        </r>
      </text>
      <mc:AlternateContent>
        <mc:Choice Requires="v2">
          <commentPr autoFill="true" autoScale="false" colHidden="false" locked="false" rowHidden="false" textHAlign="justify" textVAlign="top">
            <anchor moveWithCells="false" sizeWithCells="false">
              <xdr:from>
                <xdr:col>16</xdr:col>
                <xdr:colOff>80</xdr:colOff>
                <xdr:row>0</xdr:row>
                <xdr:rowOff>0</xdr:rowOff>
              </xdr:from>
              <xdr:to>
                <xdr:col>17</xdr:col>
                <xdr:colOff>8</xdr:colOff>
                <xdr:row>6</xdr:row>
                <xdr:rowOff>8</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The default inspection fixed quantity, used for automatic configurations</t>
        </r>
      </text>
      <mc:AlternateContent>
        <mc:Choice Requires="v2">
          <commentPr autoFill="true" autoScale="false" colHidden="false" locked="false" rowHidden="false" textHAlign="justify" textVAlign="top">
            <anchor moveWithCells="false" sizeWithCells="false">
              <xdr:from>
                <xdr:col>16</xdr:col>
                <xdr:colOff>164</xdr:colOff>
                <xdr:row>0</xdr:row>
                <xdr:rowOff>0</xdr:rowOff>
              </xdr:from>
              <xdr:to>
                <xdr:col>18</xdr:col>
                <xdr:colOff>12</xdr:colOff>
                <xdr:row>6</xdr:row>
                <xdr:rowOff>16</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
The default inspection maximum acceptable defects (fixed), used for automatic configurations</t>
        </r>
      </text>
      <mc:AlternateContent>
        <mc:Choice Requires="v2">
          <commentPr autoFill="true" autoScale="false" colHidden="false" locked="false" rowHidden="false" textHAlign="justify" textVAlign="top">
            <anchor moveWithCells="false" sizeWithCells="false">
              <xdr:from>
                <xdr:col>16</xdr:col>
                <xdr:colOff>228</xdr:colOff>
                <xdr:row>0</xdr:row>
                <xdr:rowOff>0</xdr:rowOff>
              </xdr:from>
              <xdr:to>
                <xdr:col>19</xdr:col>
                <xdr:colOff>12</xdr:colOff>
                <xdr:row>7</xdr:row>
                <xdr:rowOff>4</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The default inspection maximum acceptable defects (percentage), used for automatic configurations</t>
        </r>
      </text>
      <mc:AlternateContent>
        <mc:Choice Requires="v2">
          <commentPr autoFill="true" autoScale="false" colHidden="false" locked="false" rowHidden="false" textHAlign="justify" textVAlign="top">
            <anchor moveWithCells="false" sizeWithCells="false">
              <xdr:from>
                <xdr:col>16</xdr:col>
                <xdr:colOff>292</xdr:colOff>
                <xdr:row>0</xdr:row>
                <xdr:rowOff>0</xdr:rowOff>
              </xdr:from>
              <xdr:to>
                <xdr:col>20</xdr:col>
                <xdr:colOff>28</xdr:colOff>
                <xdr:row>7</xdr:row>
                <xdr:rowOff>16</xdr:rowOff>
              </xdr:to>
            </anchor>
          </commentPr>
        </mc:Choice>
        <mc:Fallback/>
      </mc:AlternateContent>
    </comment>
  </commentList>
</comments>
</file>

<file path=xl/comments7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Schedule</t>
        </r>
      </text>
      <mc:AlternateContent>
        <mc:Choice Requires="v2">
          <commentPr autoFill="true" autoScale="false" colHidden="false" locked="false" rowHidden="false" textHAlign="justify" textVAlign="top">
            <anchor moveWithCells="false" sizeWithCells="false">
              <xdr:from>
                <xdr:col>1</xdr:col>
                <xdr:colOff>8</xdr:colOff>
                <xdr:row>5</xdr:row>
                <xdr:rowOff>0</xdr:rowOff>
              </xdr:from>
              <xdr:to>
                <xdr:col>3</xdr:col>
                <xdr:colOff>40</xdr:colOff>
                <xdr:row>7</xdr:row>
                <xdr:rowOff>16</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Step</t>
        </r>
      </text>
      <mc:AlternateContent>
        <mc:Choice Requires="v2">
          <commentPr autoFill="true" autoScale="false" colHidden="false" locked="false" rowHidden="false" textHAlign="justify" textVAlign="top">
            <anchor moveWithCells="false" sizeWithCells="false">
              <xdr:from>
                <xdr:col>2</xdr:col>
                <xdr:colOff>8</xdr:colOff>
                <xdr:row>4</xdr:row>
                <xdr:rowOff>8</xdr:rowOff>
              </xdr:from>
              <xdr:to>
                <xdr:col>4</xdr:col>
                <xdr:colOff>56</xdr:colOff>
                <xdr:row>6</xdr:row>
                <xdr:rowOff>20</xdr:rowOff>
              </xdr:to>
            </anchor>
          </commentPr>
        </mc:Choice>
        <mc:Fallback/>
      </mc:AlternateContent>
    </comment>
  </commentList>
</comments>
</file>

<file path=xl/comments7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Pedro Silva</author>
    <author>José Romeu Gonçalves</author>
  </authors>
  <commentList>
    <comment ref="A1" authorId="1">
      <text>
        <r>
          <rPr>
            <sz val="10"/>
            <rFont val="Arial"/>
            <family val="2"/>
          </rPr>
          <t xml:space="preserve">José Romeu Gonçalves:
</t>
        </r>
        <r>
          <rPr>
            <sz val="9"/>
            <color rgb="FF000000"/>
            <rFont val="Tahoma"/>
            <family val="2"/>
            <charset val="1"/>
          </rPr>
          <t xml:space="preserve">
An Existing Sampling Plan</t>
        </r>
      </text>
      <mc:AlternateContent>
        <mc:Choice Requires="v2">
          <commentPr autoFill="true" autoScale="false" colHidden="false" locked="false" rowHidden="false" textHAlign="justify" textVAlign="top">
            <anchor moveWithCells="false" sizeWithCells="false">
              <xdr:from>
                <xdr:col>0</xdr:col>
                <xdr:colOff>84</xdr:colOff>
                <xdr:row>3</xdr:row>
                <xdr:rowOff>4</xdr:rowOff>
              </xdr:from>
              <xdr:to>
                <xdr:col>3</xdr:col>
                <xdr:colOff>8</xdr:colOff>
                <xdr:row>5</xdr:row>
                <xdr:rowOff>20</xdr:rowOff>
              </xdr:to>
            </anchor>
          </commentPr>
        </mc:Choice>
        <mc:Fallback/>
      </mc:AlternateContent>
    </comment>
    <comment ref="B1" authorId="0">
      <text>
        <r>
          <rPr>
            <sz val="10"/>
            <rFont val="Arial"/>
            <family val="2"/>
          </rPr>
          <t xml:space="preserve">Syntax:
</t>
        </r>
        <r>
          <rPr>
            <sz val="9"/>
            <color rgb="FF000000"/>
            <rFont val="Tahoma"/>
            <family val="2"/>
            <charset val="1"/>
          </rPr>
          <t xml:space="preserve">Each item is delimited by a semi-colon ';'
Format of each item is like:
     - Key1Name[Value1]
</t>
        </r>
        <r>
          <rPr>
            <b val="true"/>
            <sz val="9"/>
            <color rgb="FF000000"/>
            <rFont val="Tahoma"/>
            <family val="2"/>
            <charset val="1"/>
          </rPr>
          <t xml:space="preserve">Example:
</t>
        </r>
        <r>
          <rPr>
            <sz val="9"/>
            <color rgb="FF000000"/>
            <rFont val="Tahoma"/>
            <family val="2"/>
            <charset val="1"/>
          </rPr>
          <t xml:space="preserve">ByProduct[ProductA];ByResource[Resource1]
</t>
        </r>
      </text>
      <mc:AlternateContent>
        <mc:Choice Requires="v2">
          <commentPr autoFill="true" autoScale="false" colHidden="false" locked="false" rowHidden="false" textHAlign="justify" textVAlign="top">
            <anchor moveWithCells="false" sizeWithCells="false">
              <xdr:from>
                <xdr:col>1</xdr:col>
                <xdr:colOff>64</xdr:colOff>
                <xdr:row>10</xdr:row>
                <xdr:rowOff>16</xdr:rowOff>
              </xdr:from>
              <xdr:to>
                <xdr:col>3</xdr:col>
                <xdr:colOff>164</xdr:colOff>
                <xdr:row>17</xdr:row>
                <xdr:rowOff>4</xdr:rowOff>
              </xdr:to>
            </anchor>
          </commentPr>
        </mc:Choice>
        <mc:Fallback/>
      </mc:AlternateContent>
    </comment>
    <comment ref="G1" authorId="0">
      <text>
        <r>
          <rPr>
            <sz val="10"/>
            <rFont val="Arial"/>
            <family val="2"/>
          </rPr>
          <t xml:space="preserve">cmNavigo:
</t>
        </r>
        <r>
          <rPr>
            <sz val="9"/>
            <color rgb="FF000000"/>
            <rFont val="Tahoma"/>
            <family val="2"/>
            <charset val="1"/>
          </rPr>
          <t xml:space="preserve">
Date Time in the format: m/dd/yy hh:mm AM/PM
</t>
        </r>
        <r>
          <rPr>
            <b val="true"/>
            <sz val="9"/>
            <color rgb="FF000000"/>
            <rFont val="Tahoma"/>
            <family val="2"/>
            <charset val="1"/>
          </rPr>
          <t xml:space="preserve">Example:
</t>
        </r>
        <r>
          <rPr>
            <sz val="9"/>
            <color rgb="FF000000"/>
            <rFont val="Tahoma"/>
            <family val="2"/>
            <charset val="1"/>
          </rPr>
          <t xml:space="preserve">7/30/2014  12:00:00 AM
</t>
        </r>
      </text>
      <mc:AlternateContent>
        <mc:Choice Requires="v2">
          <commentPr autoFill="true" autoScale="false" colHidden="false" locked="false" rowHidden="false" textHAlign="justify" textVAlign="top">
            <anchor moveWithCells="false" sizeWithCells="false">
              <xdr:from>
                <xdr:col>4</xdr:col>
                <xdr:colOff>128</xdr:colOff>
                <xdr:row>2</xdr:row>
                <xdr:rowOff>12</xdr:rowOff>
              </xdr:from>
              <xdr:to>
                <xdr:col>6</xdr:col>
                <xdr:colOff>76</xdr:colOff>
                <xdr:row>7</xdr:row>
                <xdr:rowOff>16</xdr:rowOff>
              </xdr:to>
            </anchor>
          </commentPr>
        </mc:Choice>
        <mc:Fallback/>
      </mc:AlternateContent>
    </comment>
  </commentList>
</comments>
</file>

<file path=xl/comments7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Administrator</author>
    <author>José Romeu Gonçalves</author>
  </authors>
  <commentList>
    <comment ref="A1" authorId="0">
      <text>
        <r>
          <rPr>
            <sz val="10"/>
            <rFont val="Arial"/>
            <family val="2"/>
          </rPr>
          <t xml:space="preserve">Step </t>
        </r>
      </text>
      <mc:AlternateContent>
        <mc:Choice Requires="v2">
          <commentPr autoFill="true" autoScale="false" colHidden="false" locked="false" rowHidden="false" textHAlign="justify" textVAlign="top">
            <anchor moveWithCells="false" sizeWithCells="false">
              <xdr:from>
                <xdr:col>0</xdr:col>
                <xdr:colOff>64</xdr:colOff>
                <xdr:row>0</xdr:row>
                <xdr:rowOff>0</xdr:rowOff>
              </xdr:from>
              <xdr:to>
                <xdr:col>1</xdr:col>
                <xdr:colOff>-106</xdr:colOff>
                <xdr:row>1</xdr:row>
                <xdr:rowOff>0</xdr:rowOff>
              </xdr:to>
            </anchor>
          </commentPr>
        </mc:Choice>
        <mc:Fallback/>
      </mc:AlternateContent>
    </comment>
    <comment ref="B1" authorId="0">
      <text>
        <r>
          <rPr>
            <sz val="10"/>
            <rFont val="Arial"/>
            <family val="2"/>
          </rPr>
          <t xml:space="preserve">Reason</t>
        </r>
      </text>
      <mc:AlternateContent>
        <mc:Choice Requires="v2">
          <commentPr autoFill="true" autoScale="false" colHidden="false" locked="false" rowHidden="false" textHAlign="justify" textVAlign="top">
            <anchor moveWithCells="false" sizeWithCells="false">
              <xdr:from>
                <xdr:col>0</xdr:col>
                <xdr:colOff>132</xdr:colOff>
                <xdr:row>0</xdr:row>
                <xdr:rowOff>0</xdr:rowOff>
              </xdr:from>
              <xdr:to>
                <xdr:col>1</xdr:col>
                <xdr:colOff>-22</xdr:colOff>
                <xdr:row>1</xdr:row>
                <xdr:rowOff>0</xdr:rowOff>
              </xdr:to>
            </anchor>
          </commentPr>
        </mc:Choice>
        <mc:Fallback/>
      </mc:AlternateContent>
    </comment>
    <comment ref="F1" authorId="1">
      <text>
        <r>
          <rPr>
            <sz val="10"/>
            <rFont val="Arial"/>
            <family val="2"/>
          </rPr>
          <t xml:space="preserve">José Romeu Gonçalves:
</t>
        </r>
        <r>
          <rPr>
            <sz val="9"/>
            <color rgb="FF000000"/>
            <rFont val="Tahoma"/>
            <family val="2"/>
            <charset val="1"/>
          </rPr>
          <t xml:space="preserve">
Original Step that originated the loss</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-79</xdr:colOff>
                <xdr:row>4</xdr:row>
                <xdr:rowOff>1</xdr:rowOff>
              </xdr:to>
            </anchor>
          </commentPr>
        </mc:Choice>
        <mc:Fallback/>
      </mc:AlternateContent>
    </comment>
  </commentList>
</comments>
</file>

<file path=xl/comments7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ParameterType</t>
        </r>
      </text>
      <mc:AlternateContent>
        <mc:Choice Requires="v2">
          <commentPr autoFill="true" autoScale="false" colHidden="false" locked="false" rowHidden="false" textHAlign="justify" textVAlign="top">
            <anchor moveWithCells="false" sizeWithCells="false">
              <xdr:from>
                <xdr:col>1</xdr:col>
                <xdr:colOff>48</xdr:colOff>
                <xdr:row>4</xdr:row>
                <xdr:rowOff>12</xdr:rowOff>
              </xdr:from>
              <xdr:to>
                <xdr:col>2</xdr:col>
                <xdr:colOff>52</xdr:colOff>
                <xdr:row>7</xdr:row>
                <xdr:rowOff>8</xdr:rowOff>
              </xdr:to>
            </anchor>
          </commentPr>
        </mc:Choice>
        <mc:Fallback/>
      </mc:AlternateContent>
    </comment>
    <comment ref="F1" authorId="1">
      <text>
        <r>
          <rPr>
            <sz val="10"/>
            <rFont val="Arial"/>
            <family val="2"/>
          </rPr>
          <t xml:space="preserve">Possible Values:
</t>
        </r>
        <r>
          <rPr>
            <sz val="9"/>
            <color rgb="FF000000"/>
            <rFont val="Tahoma"/>
            <family val="2"/>
            <charset val="1"/>
          </rPr>
          <t xml:space="preserve">EDC_SPC
Recipe
EDC_SPC_Recipe
KPI</t>
        </r>
      </text>
      <mc:AlternateContent>
        <mc:Choice Requires="v2">
          <commentPr autoFill="true" autoScale="false" colHidden="false" locked="false" rowHidden="false" textHAlign="justify" textVAlign="top">
            <anchor moveWithCells="false" sizeWithCells="false">
              <xdr:from>
                <xdr:col>2</xdr:col>
                <xdr:colOff>48</xdr:colOff>
                <xdr:row>2</xdr:row>
                <xdr:rowOff>4</xdr:rowOff>
              </xdr:from>
              <xdr:to>
                <xdr:col>4</xdr:col>
                <xdr:colOff>44</xdr:colOff>
                <xdr:row>7</xdr:row>
                <xdr:rowOff>4</xdr:rowOff>
              </xdr:to>
            </anchor>
          </commentPr>
        </mc:Choice>
        <mc:Fallback/>
      </mc:AlternateContent>
    </comment>
    <comment ref="G1" authorId="1">
      <text>
        <r>
          <rPr>
            <sz val="10"/>
            <rFont val="Arial"/>
            <family val="2"/>
          </rPr>
          <t xml:space="preserve">Possible Values:
</t>
        </r>
        <r>
          <rPr>
            <sz val="9"/>
            <color rgb="FF000000"/>
            <rFont val="Tahoma"/>
            <family val="2"/>
            <charset val="1"/>
          </rPr>
          <t xml:space="preserve">
String
Url
Long
Decimal
DateTime
Duration
Boolean</t>
        </r>
      </text>
      <mc:AlternateContent>
        <mc:Choice Requires="v2">
          <commentPr autoFill="true" autoScale="false" colHidden="false" locked="false" rowHidden="false" textHAlign="justify" textVAlign="top">
            <anchor moveWithCells="false" sizeWithCells="false">
              <xdr:from>
                <xdr:col>3</xdr:col>
                <xdr:colOff>56</xdr:colOff>
                <xdr:row>3</xdr:row>
                <xdr:rowOff>8</xdr:rowOff>
              </xdr:from>
              <xdr:to>
                <xdr:col>5</xdr:col>
                <xdr:colOff>4</xdr:colOff>
                <xdr:row>10</xdr:row>
                <xdr:rowOff>16</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c - Currency pattern, optional (ex :c3.3 111.234-&gt;$111.234).
n - Decimal pattern, required (ex: n3.3 111.234-&gt;111.234).
p - Percentage, optional (ex: p3.2 111.234-&gt;123.40%).
d - Digit pattern, required (ex: d3 111.234-&gt;111).
# - Digit pattern, optional. If this position is blank in the mask, it will be rendered as the character in the Placeholder property.  and  signs are allowed (ex: #3.1 111.234-&gt;111.2).
A - Alphanumeric, required. If the AsciiOnly property is set to true, the only characters it will accept are the ASCII letters a-z and A-Z.
a - Alphanumeric, optional. If the AsciiOnly property is set to true, the only characters it will accept are the ASCII letters a-z and A-Z.
L - Letter, required. Restricts input to the ASCII letters a-z and A-Z. This mask element is equivalent to [a-zA-Z] in regular expressions.
l - Letter, optional.
\ - Escapes a mask character, turning it into a literal. "\" is the escape sequence for a backslash.
&lt; - To lower token.
&gt; - To upper token.</t>
        </r>
      </text>
      <mc:AlternateContent>
        <mc:Choice Requires="v2">
          <commentPr autoFill="true" autoScale="false" colHidden="false" locked="false" rowHidden="false" textHAlign="justify" textVAlign="top">
            <anchor moveWithCells="false" sizeWithCells="false">
              <xdr:from>
                <xdr:col>0</xdr:col>
                <xdr:colOff>160</xdr:colOff>
                <xdr:row>3</xdr:row>
                <xdr:rowOff>16</xdr:rowOff>
              </xdr:from>
              <xdr:to>
                <xdr:col>10</xdr:col>
                <xdr:colOff>148</xdr:colOff>
                <xdr:row>15</xdr:row>
                <xdr:rowOff>4</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From Units Lookup Table</t>
        </r>
      </text>
      <mc:AlternateContent>
        <mc:Choice Requires="v2">
          <commentPr autoFill="true" autoScale="false" colHidden="false" locked="false" rowHidden="false" textHAlign="justify" textVAlign="top">
            <anchor moveWithCells="false" sizeWithCells="false">
              <xdr:from>
                <xdr:col>5</xdr:col>
                <xdr:colOff>96</xdr:colOff>
                <xdr:row>0</xdr:row>
                <xdr:rowOff>0</xdr:rowOff>
              </xdr:from>
              <xdr:to>
                <xdr:col>7</xdr:col>
                <xdr:colOff>60</xdr:colOff>
                <xdr:row>3</xdr:row>
                <xdr:rowOff>20</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A scale for the Parameter in terms of powers of 10</t>
        </r>
      </text>
      <mc:AlternateContent>
        <mc:Choice Requires="v2">
          <commentPr autoFill="true" autoScale="false" colHidden="false" locked="false" rowHidden="false" textHAlign="justify" textVAlign="top">
            <anchor moveWithCells="false" sizeWithCells="false">
              <xdr:from>
                <xdr:col>6</xdr:col>
                <xdr:colOff>0</xdr:colOff>
                <xdr:row>3</xdr:row>
                <xdr:rowOff>0</xdr:rowOff>
              </xdr:from>
              <xdr:to>
                <xdr:col>8</xdr:col>
                <xdr:colOff>4</xdr:colOff>
                <xdr:row>6</xdr:row>
                <xdr:rowOff>8</xdr:rowOff>
              </xdr:to>
            </anchor>
          </commentPr>
        </mc:Choice>
        <mc:Fallback/>
      </mc:AlternateContent>
    </comment>
    <comment ref="M1" authorId="1">
      <text>
        <r>
          <rPr>
            <sz val="10"/>
            <rFont val="Arial"/>
            <family val="2"/>
          </rPr>
          <t xml:space="preserve">Value Must be:
</t>
        </r>
        <r>
          <rPr>
            <sz val="9"/>
            <color rgb="FF000000"/>
            <rFont val="Tahoma"/>
            <family val="2"/>
            <charset val="1"/>
          </rPr>
          <t xml:space="preserve">Existing LookupTable Name</t>
        </r>
      </text>
      <mc:AlternateContent>
        <mc:Choice Requires="v2">
          <commentPr autoFill="true" autoScale="false" colHidden="false" locked="false" rowHidden="false" textHAlign="justify" textVAlign="top">
            <anchor moveWithCells="false" sizeWithCells="false">
              <xdr:from>
                <xdr:col>9</xdr:col>
                <xdr:colOff>32</xdr:colOff>
                <xdr:row>5</xdr:row>
                <xdr:rowOff>16</xdr:rowOff>
              </xdr:from>
              <xdr:to>
                <xdr:col>10</xdr:col>
                <xdr:colOff>116</xdr:colOff>
                <xdr:row>8</xdr:row>
                <xdr:rowOff>8</xdr:rowOff>
              </xdr:to>
            </anchor>
          </commentPr>
        </mc:Choice>
        <mc:Fallback/>
      </mc:AlternateContent>
    </comment>
  </commentList>
</comments>
</file>

<file path=xl/comments7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LookupTable ProductGroupType</t>
        </r>
      </text>
      <mc:AlternateContent>
        <mc:Choice Requires="v2">
          <commentPr autoFill="true" autoScale="false" colHidden="false" locked="false" rowHidden="false" textHAlign="justify" textVAlign="top">
            <anchor moveWithCells="false" sizeWithCells="false">
              <xdr:from>
                <xdr:col>4</xdr:col>
                <xdr:colOff>48</xdr:colOff>
                <xdr:row>8</xdr:row>
                <xdr:rowOff>16</xdr:rowOff>
              </xdr:from>
              <xdr:to>
                <xdr:col>7</xdr:col>
                <xdr:colOff>4</xdr:colOff>
                <xdr:row>11</xdr:row>
                <xdr:rowOff>12</xdr:rowOff>
              </xdr:to>
            </anchor>
          </commentPr>
        </mc:Choice>
        <mc:Fallback/>
      </mc:AlternateContent>
    </comment>
    <comment ref="G1" authorId="0">
      <text>
        <r>
          <rPr>
            <sz val="10"/>
            <rFont val="Arial"/>
            <family val="2"/>
          </rPr>
          <t xml:space="preserve">taken from the Lookup Table ProductGroupMaturity</t>
        </r>
      </text>
      <mc:AlternateContent>
        <mc:Choice Requires="v2">
          <commentPr autoFill="true" autoScale="false" colHidden="false" locked="false" rowHidden="false" textHAlign="justify" textVAlign="top">
            <anchor moveWithCells="false" sizeWithCells="false">
              <xdr:from>
                <xdr:col>5</xdr:col>
                <xdr:colOff>16</xdr:colOff>
                <xdr:row>7</xdr:row>
                <xdr:rowOff>4</xdr:rowOff>
              </xdr:from>
              <xdr:to>
                <xdr:col>7</xdr:col>
                <xdr:colOff>32</xdr:colOff>
                <xdr:row>9</xdr:row>
                <xdr:rowOff>4</xdr:rowOff>
              </xdr:to>
            </anchor>
          </commentPr>
        </mc:Choice>
        <mc:Fallback/>
      </mc:AlternateContent>
    </comment>
    <comment ref="H1" authorId="1">
      <text>
        <r>
          <rPr>
            <sz val="10"/>
            <rFont val="Arial"/>
            <family val="2"/>
          </rPr>
          <t xml:space="preserve">Syntax:
</t>
        </r>
        <r>
          <rPr>
            <sz val="9"/>
            <color rgb="FF000000"/>
            <rFont val="Tahoma"/>
            <family val="2"/>
            <charset val="1"/>
          </rPr>
          <t xml:space="preserve">
'FlowPath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r>
      </text>
      <mc:AlternateContent>
        <mc:Choice Requires="v2">
          <commentPr autoFill="true" autoScale="false" colHidden="false" locked="false" rowHidden="false" textHAlign="justify" textVAlign="top">
            <anchor moveWithCells="false" sizeWithCells="false">
              <xdr:from>
                <xdr:col>2</xdr:col>
                <xdr:colOff>4</xdr:colOff>
                <xdr:row>2</xdr:row>
                <xdr:rowOff>4</xdr:rowOff>
              </xdr:from>
              <xdr:to>
                <xdr:col>10</xdr:col>
                <xdr:colOff>52</xdr:colOff>
                <xdr:row>10</xdr:row>
                <xdr:rowOff>12</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TopMost Flow</t>
        </r>
      </text>
      <mc:AlternateContent>
        <mc:Choice Requires="v2">
          <commentPr autoFill="true" autoScale="false" colHidden="false" locked="false" rowHidden="false" textHAlign="justify" textVAlign="top">
            <anchor moveWithCells="false" sizeWithCells="false">
              <xdr:from>
                <xdr:col>10</xdr:col>
                <xdr:colOff>40</xdr:colOff>
                <xdr:row>6</xdr:row>
                <xdr:rowOff>4</xdr:rowOff>
              </xdr:from>
              <xdr:to>
                <xdr:col>13</xdr:col>
                <xdr:colOff>12</xdr:colOff>
                <xdr:row>9</xdr:row>
                <xdr:rowOff>4</xdr:rowOff>
              </xdr:to>
            </anchor>
          </commentPr>
        </mc:Choice>
        <mc:Fallback/>
      </mc:AlternateContent>
    </comment>
  </commentList>
</comments>
</file>

<file path=xl/comments8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A Specification can be used for SPC integration and it can define a lower specification value, a target value and a upper specification value.
A Characteristic is a constant value that is associated with the Product.</t>
        </r>
      </text>
      <mc:AlternateContent>
        <mc:Choice Requires="v2">
          <commentPr autoFill="true" autoScale="false" colHidden="false" locked="false" rowHidden="false" textHAlign="justify" textVAlign="top">
            <anchor moveWithCells="false" sizeWithCells="false">
              <xdr:from>
                <xdr:col>2</xdr:col>
                <xdr:colOff>40</xdr:colOff>
                <xdr:row>3</xdr:row>
                <xdr:rowOff>16</xdr:rowOff>
              </xdr:from>
              <xdr:to>
                <xdr:col>7</xdr:col>
                <xdr:colOff>8</xdr:colOff>
                <xdr:row>8</xdr:row>
                <xdr:rowOff>20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Additional meta-data for reporting
Taken from the lookup table ProductParameterReportingType</t>
        </r>
      </text>
      <mc:AlternateContent>
        <mc:Choice Requires="v2">
          <commentPr autoFill="true" autoScale="false" colHidden="false" locked="false" rowHidden="false" textHAlign="justify" textVAlign="top">
            <anchor moveWithCells="false" sizeWithCells="false">
              <xdr:from>
                <xdr:col>6</xdr:col>
                <xdr:colOff>4</xdr:colOff>
                <xdr:row>2</xdr:row>
                <xdr:rowOff>16</xdr:rowOff>
              </xdr:from>
              <xdr:to>
                <xdr:col>9</xdr:col>
                <xdr:colOff>96</xdr:colOff>
                <xdr:row>6</xdr:row>
                <xdr:rowOff>8</xdr:rowOff>
              </xdr:to>
            </anchor>
          </commentPr>
        </mc:Choice>
        <mc:Fallback/>
      </mc:AlternateContent>
    </comment>
  </commentList>
</comments>
</file>

<file path=xl/comments8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From MoistureSensitivityLevel Lookup Table</t>
        </r>
      </text>
      <mc:AlternateContent>
        <mc:Choice Requires="v2">
          <commentPr autoFill="true" autoScale="false" colHidden="false" locked="false" rowHidden="false" textHAlign="justify" textVAlign="top">
            <anchor moveWithCells="false" sizeWithCells="false">
              <xdr:from>
                <xdr:col>1</xdr:col>
                <xdr:colOff>36</xdr:colOff>
                <xdr:row>0</xdr:row>
                <xdr:rowOff>0</xdr:rowOff>
              </xdr:from>
              <xdr:to>
                <xdr:col>3</xdr:col>
                <xdr:colOff>40</xdr:colOff>
                <xdr:row>3</xdr:row>
                <xdr:rowOff>19</xdr:rowOff>
              </xdr:to>
            </anchor>
          </commentPr>
        </mc:Choice>
        <mc:Fallback/>
      </mc:AlternateContent>
    </comment>
  </commentList>
</comments>
</file>

<file path=xl/comments8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LookupTable ProductType</t>
        </r>
      </text>
      <mc:AlternateContent>
        <mc:Choice Requires="v2">
          <commentPr autoFill="true" autoScale="false" colHidden="false" locked="false" rowHidden="false" textHAlign="justify" textVAlign="top">
            <anchor moveWithCells="false" sizeWithCells="false">
              <xdr:from>
                <xdr:col>4</xdr:col>
                <xdr:colOff>60</xdr:colOff>
                <xdr:row>0</xdr:row>
                <xdr:rowOff>0</xdr:rowOff>
              </xdr:from>
              <xdr:to>
                <xdr:col>5</xdr:col>
                <xdr:colOff>164</xdr:colOff>
                <xdr:row>1</xdr:row>
                <xdr:rowOff>20</xdr:rowOff>
              </xdr:to>
            </anchor>
          </commentPr>
        </mc:Choice>
        <mc:Fallback/>
      </mc:AlternateContent>
    </comment>
    <comment ref="G1" authorId="1">
      <text>
        <r>
          <rPr>
            <sz val="10"/>
            <rFont val="Arial"/>
            <family val="2"/>
          </rPr>
          <t xml:space="preserve">Syntax:
</t>
        </r>
        <r>
          <rPr>
            <sz val="9"/>
            <color rgb="FF000000"/>
            <rFont val="Tahoma"/>
            <family val="2"/>
            <charset val="1"/>
          </rPr>
          <t xml:space="preserve">
'FlowPath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r>
      </text>
      <mc:AlternateContent>
        <mc:Choice Requires="v2">
          <commentPr autoFill="true" autoScale="false" colHidden="false" locked="false" rowHidden="false" textHAlign="justify" textVAlign="top">
            <anchor moveWithCells="false" sizeWithCells="false">
              <xdr:from>
                <xdr:col>0</xdr:col>
                <xdr:colOff>108</xdr:colOff>
                <xdr:row>5</xdr:row>
                <xdr:rowOff>16</xdr:rowOff>
              </xdr:from>
              <xdr:to>
                <xdr:col>5</xdr:col>
                <xdr:colOff>60</xdr:colOff>
                <xdr:row>13</xdr:row>
                <xdr:rowOff>16</xdr:rowOff>
              </xdr:to>
            </anchor>
          </commentPr>
        </mc:Choice>
        <mc:Fallback/>
      </mc:AlternateContent>
    </comment>
    <comment ref="N1" authorId="0">
      <text>
        <r>
          <rPr>
            <sz val="10"/>
            <rFont val="Arial"/>
            <family val="2"/>
          </rPr>
          <t xml:space="preserve">Value From ProductMaturity lookup Table
Used for Sampling Plan Context</t>
        </r>
      </text>
      <mc:AlternateContent>
        <mc:Choice Requires="v2">
          <commentPr autoFill="true" autoScale="false" colHidden="false" locked="false" rowHidden="false" textHAlign="justify" textVAlign="top">
            <anchor moveWithCells="false" sizeWithCells="false">
              <xdr:from>
                <xdr:col>5</xdr:col>
                <xdr:colOff>152</xdr:colOff>
                <xdr:row>3</xdr:row>
                <xdr:rowOff>0</xdr:rowOff>
              </xdr:from>
              <xdr:to>
                <xdr:col>7</xdr:col>
                <xdr:colOff>20</xdr:colOff>
                <xdr:row>5</xdr:row>
                <xdr:rowOff>16</xdr:rowOff>
              </xdr:to>
            </anchor>
          </commentPr>
        </mc:Choice>
        <mc:Fallback/>
      </mc:AlternateContent>
    </comment>
    <comment ref="O1" authorId="0">
      <text>
        <r>
          <rPr>
            <sz val="10"/>
            <rFont val="Arial"/>
            <family val="2"/>
          </rPr>
          <t xml:space="preserve">Value from CapacityClass Lookup Table
This property is only used for scheduling purposes for Resources of type Tunnel and Batch.</t>
        </r>
      </text>
      <mc:AlternateContent>
        <mc:Choice Requires="v2">
          <commentPr autoFill="true" autoScale="false" colHidden="false" locked="false" rowHidden="false" textHAlign="justify" textVAlign="top">
            <anchor moveWithCells="false" sizeWithCells="false">
              <xdr:from>
                <xdr:col>5</xdr:col>
                <xdr:colOff>200</xdr:colOff>
                <xdr:row>7</xdr:row>
                <xdr:rowOff>4</xdr:rowOff>
              </xdr:from>
              <xdr:to>
                <xdr:col>8</xdr:col>
                <xdr:colOff>80</xdr:colOff>
                <xdr:row>16</xdr:row>
                <xdr:rowOff>12</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Whether a product is disable, it isn't possible to create material from this product</t>
        </r>
      </text>
      <mc:AlternateContent>
        <mc:Choice Requires="v2">
          <commentPr autoFill="true" autoScale="false" colHidden="false" locked="false" rowHidden="false" textHAlign="justify" textVAlign="top">
            <anchor moveWithCells="false" sizeWithCells="false">
              <xdr:from>
                <xdr:col>11</xdr:col>
                <xdr:colOff>136</xdr:colOff>
                <xdr:row>7</xdr:row>
                <xdr:rowOff>0</xdr:rowOff>
              </xdr:from>
              <xdr:to>
                <xdr:col>15</xdr:col>
                <xdr:colOff>56</xdr:colOff>
                <xdr:row>10</xdr:row>
                <xdr:rowOff>16</xdr:rowOff>
              </xdr:to>
            </anchor>
          </commentPr>
        </mc:Choice>
        <mc:Fallback/>
      </mc:AlternateContent>
    </comment>
    <comment ref="T1" authorId="0">
      <text>
        <r>
          <rPr>
            <sz val="10"/>
            <rFont val="Arial"/>
            <family val="2"/>
          </rPr>
          <t xml:space="preserve">José Romeu Gonçalves:
</t>
        </r>
        <r>
          <rPr>
            <sz val="9"/>
            <color rgb="FF000000"/>
            <rFont val="Tahoma"/>
            <family val="2"/>
            <charset val="1"/>
          </rPr>
          <t xml:space="preserve">
It is not possible to perform the following operations on Materials for which the Product is blocked:
Track-In Material;
Combine Material (as source);
Compose Material (as source);
Assemble Material (as source);
Replace Assembled Material (as source);
Disassemble Material (as source);
Attach Consumable To Resource;
</t>
        </r>
      </text>
      <mc:AlternateContent>
        <mc:Choice Requires="v2">
          <commentPr autoFill="true" autoScale="false" colHidden="false" locked="false" rowHidden="false" textHAlign="justify" textVAlign="top">
            <anchor moveWithCells="false" sizeWithCells="false">
              <xdr:from>
                <xdr:col>7</xdr:col>
                <xdr:colOff>60</xdr:colOff>
                <xdr:row>7</xdr:row>
                <xdr:rowOff>4</xdr:rowOff>
              </xdr:from>
              <xdr:to>
                <xdr:col>10</xdr:col>
                <xdr:colOff>96</xdr:colOff>
                <xdr:row>16</xdr:row>
                <xdr:rowOff>8</xdr:rowOff>
              </xdr:to>
            </anchor>
          </commentPr>
        </mc:Choice>
        <mc:Fallback/>
      </mc:AlternateContent>
    </comment>
    <comment ref="U1" authorId="0">
      <text>
        <r>
          <rPr>
            <sz val="10"/>
            <rFont val="Arial"/>
            <family val="2"/>
          </rPr>
          <t xml:space="preserve">José Romeu Gonçalves:
</t>
        </r>
        <r>
          <rPr>
            <sz val="9"/>
            <color rgb="FF000000"/>
            <rFont val="Tahoma"/>
            <family val="2"/>
            <charset val="1"/>
          </rPr>
          <t xml:space="preserve">
A discrete Product can only have integer quantity values</t>
        </r>
      </text>
      <mc:AlternateContent>
        <mc:Choice Requires="v2">
          <commentPr autoFill="true" autoScale="false" colHidden="false" locked="false" rowHidden="false" textHAlign="justify" textVAlign="top">
            <anchor moveWithCells="false" sizeWithCells="false">
              <xdr:from>
                <xdr:col>9</xdr:col>
                <xdr:colOff>8</xdr:colOff>
                <xdr:row>4</xdr:row>
                <xdr:rowOff>16</xdr:rowOff>
              </xdr:from>
              <xdr:to>
                <xdr:col>11</xdr:col>
                <xdr:colOff>12</xdr:colOff>
                <xdr:row>7</xdr:row>
                <xdr:rowOff>20</xdr:rowOff>
              </xdr:to>
            </anchor>
          </commentPr>
        </mc:Choice>
        <mc:Fallback/>
      </mc:AlternateContent>
    </comment>
    <comment ref="Y1" authorId="1">
      <text>
        <r>
          <rPr>
            <sz val="10"/>
            <rFont val="Arial"/>
            <family val="2"/>
          </rPr>
          <t xml:space="preserve">Syntax:
</t>
        </r>
        <r>
          <rPr>
            <sz val="9"/>
            <color rgb="FF000000"/>
            <rFont val="Tahoma"/>
            <family val="2"/>
            <charset val="1"/>
          </rPr>
          <t xml:space="preserve">Each item is delimited by a semi-colon ';'
Format of each item is like:
FromUnit[unitA] ToUnit[unitB] Factor[factor]
Where 
 - Units must exist in lookupTable Units
 - factor can have decimal places</t>
        </r>
      </text>
      <mc:AlternateContent>
        <mc:Choice Requires="v2">
          <commentPr autoFill="true" autoScale="false" colHidden="false" locked="false" rowHidden="false" textHAlign="justify" textVAlign="top">
            <anchor moveWithCells="false" sizeWithCells="false">
              <xdr:from>
                <xdr:col>12</xdr:col>
                <xdr:colOff>56</xdr:colOff>
                <xdr:row>1</xdr:row>
                <xdr:rowOff>16</xdr:rowOff>
              </xdr:from>
              <xdr:to>
                <xdr:col>15</xdr:col>
                <xdr:colOff>24</xdr:colOff>
                <xdr:row>9</xdr:row>
                <xdr:rowOff>12</xdr:rowOff>
              </xdr:to>
            </anchor>
          </commentPr>
        </mc:Choice>
        <mc:Fallback/>
      </mc:AlternateContent>
    </comment>
    <comment ref="Z1" authorId="1">
      <text>
        <r>
          <rPr>
            <sz val="10"/>
            <rFont val="Arial"/>
            <family val="2"/>
          </rPr>
          <t xml:space="preserve">Syntax:
</t>
        </r>
        <r>
          <rPr>
            <sz val="9"/>
            <color rgb="FF000000"/>
            <rFont val="Tahoma"/>
            <family val="2"/>
            <charset val="1"/>
          </rPr>
          <t xml:space="preserve">
Each item is delimited by a semi-colon ';'
Format of each item is like:
TargetProduct[ProductName] Facility[Null] Step[StepName] ProductChangeDescription[Standard] Type[Standard] IsChangeAutomatic[Yes]
</t>
        </r>
        <r>
          <rPr>
            <u val="single"/>
            <sz val="9"/>
            <color rgb="FF000000"/>
            <rFont val="Tahoma"/>
            <family val="2"/>
            <charset val="1"/>
          </rPr>
          <t xml:space="preserve">Type:</t>
        </r>
        <r>
          <rPr>
            <sz val="9"/>
            <color rgb="FF000000"/>
            <rFont val="Tahoma"/>
            <family val="2"/>
            <charset val="1"/>
          </rPr>
          <t xml:space="preserve"> Value from SubProductType Lookup Table
</t>
        </r>
        <r>
          <rPr>
            <u val="single"/>
            <sz val="9"/>
            <color rgb="FF000000"/>
            <rFont val="Tahoma"/>
            <family val="2"/>
            <charset val="1"/>
          </rPr>
          <t xml:space="preserve">Remark:</t>
        </r>
        <r>
          <rPr>
            <sz val="9"/>
            <color rgb="FF000000"/>
            <rFont val="Tahoma"/>
            <family val="2"/>
            <charset val="1"/>
          </rPr>
          <t xml:space="preserve"> It's not possible to define both the Step and Facility for a SubProduct</t>
        </r>
      </text>
      <mc:AlternateContent>
        <mc:Choice Requires="v2">
          <commentPr autoFill="true" autoScale="false" colHidden="false" locked="false" rowHidden="false" textHAlign="justify" textVAlign="top">
            <anchor moveWithCells="false" sizeWithCells="false">
              <xdr:from>
                <xdr:col>18</xdr:col>
                <xdr:colOff>40</xdr:colOff>
                <xdr:row>11</xdr:row>
                <xdr:rowOff>4</xdr:rowOff>
              </xdr:from>
              <xdr:to>
                <xdr:col>28</xdr:col>
                <xdr:colOff>16</xdr:colOff>
                <xdr:row>18</xdr:row>
                <xdr:rowOff>16</xdr:rowOff>
              </xdr:to>
            </anchor>
          </commentPr>
        </mc:Choice>
        <mc:Fallback/>
      </mc:AlternateContent>
    </comment>
    <comment ref="AA1" authorId="0">
      <text>
        <r>
          <rPr>
            <sz val="10"/>
            <rFont val="Arial"/>
            <family val="2"/>
          </rPr>
          <t xml:space="preserve">José Romeu Gonçalves:
</t>
        </r>
        <r>
          <rPr>
            <sz val="9"/>
            <color rgb="FF000000"/>
            <rFont val="Tahoma"/>
            <family val="2"/>
            <charset val="1"/>
          </rPr>
          <t xml:space="preserve">
Specify whether it needs to be consumed from an existing Material or not</t>
        </r>
      </text>
      <mc:AlternateContent>
        <mc:Choice Requires="v2">
          <commentPr autoFill="true" autoScale="false" colHidden="false" locked="false" rowHidden="false" textHAlign="justify" textVAlign="top">
            <anchor moveWithCells="false" sizeWithCells="false">
              <xdr:from>
                <xdr:col>23</xdr:col>
                <xdr:colOff>80</xdr:colOff>
                <xdr:row>2</xdr:row>
                <xdr:rowOff>16</xdr:rowOff>
              </xdr:from>
              <xdr:to>
                <xdr:col>25</xdr:col>
                <xdr:colOff>108</xdr:colOff>
                <xdr:row>6</xdr:row>
                <xdr:rowOff>12</xdr:rowOff>
              </xdr:to>
            </anchor>
          </commentPr>
        </mc:Choice>
        <mc:Fallback/>
      </mc:AlternateContent>
    </comment>
    <comment ref="AB1" authorId="0">
      <text>
        <r>
          <rPr>
            <sz val="10"/>
            <rFont val="Arial"/>
            <family val="2"/>
          </rPr>
          <t xml:space="preserve">José Romeu Gonçalves:
</t>
        </r>
        <r>
          <rPr>
            <sz val="9"/>
            <color rgb="FF000000"/>
            <rFont val="Tahoma"/>
            <family val="2"/>
            <charset val="1"/>
          </rPr>
          <t xml:space="preserve">
To calculate the initial material cost when a material is created with this Product.</t>
        </r>
      </text>
      <mc:AlternateContent>
        <mc:Choice Requires="v2">
          <commentPr autoFill="true" autoScale="false" colHidden="false" locked="false" rowHidden="false" textHAlign="justify" textVAlign="top">
            <anchor moveWithCells="false" sizeWithCells="false">
              <xdr:from>
                <xdr:col>23</xdr:col>
                <xdr:colOff>80</xdr:colOff>
                <xdr:row>4</xdr:row>
                <xdr:rowOff>8</xdr:rowOff>
              </xdr:from>
              <xdr:to>
                <xdr:col>25</xdr:col>
                <xdr:colOff>108</xdr:colOff>
                <xdr:row>7</xdr:row>
                <xdr:rowOff>16</xdr:rowOff>
              </xdr:to>
            </anchor>
          </commentPr>
        </mc:Choice>
        <mc:Fallback/>
      </mc:AlternateContent>
    </comment>
    <comment ref="AC1" authorId="0">
      <text>
        <r>
          <rPr>
            <sz val="10"/>
            <rFont val="Arial"/>
            <family val="2"/>
          </rPr>
          <t xml:space="preserve">José Romeu Gonçalves:
</t>
        </r>
        <r>
          <rPr>
            <sz val="9"/>
            <color rgb="FF000000"/>
            <rFont val="Tahoma"/>
            <family val="2"/>
            <charset val="1"/>
          </rPr>
          <t xml:space="preserve">
The finished cost is used to forecast the cost of a Product, accounting for the incorporated materials defined in the Bill-of-Materials (BOM) with their finished unit cost.</t>
        </r>
      </text>
      <mc:AlternateContent>
        <mc:Choice Requires="v2">
          <commentPr autoFill="true" autoScale="false" colHidden="false" locked="false" rowHidden="false" textHAlign="justify" textVAlign="top">
            <anchor moveWithCells="false" sizeWithCells="false">
              <xdr:from>
                <xdr:col>23</xdr:col>
                <xdr:colOff>80</xdr:colOff>
                <xdr:row>3</xdr:row>
                <xdr:rowOff>8</xdr:rowOff>
              </xdr:from>
              <xdr:to>
                <xdr:col>24</xdr:col>
                <xdr:colOff>40</xdr:colOff>
                <xdr:row>8</xdr:row>
                <xdr:rowOff>4</xdr:rowOff>
              </xdr:to>
            </anchor>
          </commentPr>
        </mc:Choice>
        <mc:Fallback/>
      </mc:AlternateContent>
    </comment>
    <comment ref="AJ1" authorId="0">
      <text>
        <r>
          <rPr>
            <sz val="10"/>
            <rFont val="Arial"/>
            <family val="2"/>
          </rPr>
          <t xml:space="preserve">José Romeu Gonçalves:
</t>
        </r>
        <r>
          <rPr>
            <sz val="9"/>
            <color rgb="FF000000"/>
            <rFont val="Tahoma"/>
            <family val="2"/>
            <charset val="1"/>
          </rPr>
          <t xml:space="preserve">How this Product should be scheduled</t>
        </r>
      </text>
      <mc:AlternateContent>
        <mc:Choice Requires="v2">
          <commentPr autoFill="true" autoScale="false" colHidden="false" locked="false" rowHidden="false" textHAlign="justify" textVAlign="top">
            <anchor moveWithCells="false" sizeWithCells="false">
              <xdr:from>
                <xdr:col>31</xdr:col>
                <xdr:colOff>16</xdr:colOff>
                <xdr:row>0</xdr:row>
                <xdr:rowOff>0</xdr:rowOff>
              </xdr:from>
              <xdr:to>
                <xdr:col>32</xdr:col>
                <xdr:colOff>12</xdr:colOff>
                <xdr:row>3</xdr:row>
                <xdr:rowOff>20</xdr:rowOff>
              </xdr:to>
            </anchor>
          </commentPr>
        </mc:Choice>
        <mc:Fallback/>
      </mc:AlternateContent>
    </comment>
    <comment ref="AU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45</xdr:col>
                <xdr:colOff>144</xdr:colOff>
                <xdr:row>2</xdr:row>
                <xdr:rowOff>4</xdr:rowOff>
              </xdr:from>
              <xdr:to>
                <xdr:col>46</xdr:col>
                <xdr:colOff>104</xdr:colOff>
                <xdr:row>5</xdr:row>
                <xdr:rowOff>16</xdr:rowOff>
              </xdr:to>
            </anchor>
          </commentPr>
        </mc:Choice>
        <mc:Fallback/>
      </mc:AlternateContent>
    </comment>
    <comment ref="AV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48</xdr:col>
                <xdr:colOff>16</xdr:colOff>
                <xdr:row>0</xdr:row>
                <xdr:rowOff>0</xdr:rowOff>
              </xdr:from>
              <xdr:to>
                <xdr:col>49</xdr:col>
                <xdr:colOff>52</xdr:colOff>
                <xdr:row>3</xdr:row>
                <xdr:rowOff>12</xdr:rowOff>
              </xdr:to>
            </anchor>
          </commentPr>
        </mc:Choice>
        <mc:Fallback/>
      </mc:AlternateContent>
    </comment>
    <comment ref="AW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49</xdr:col>
                <xdr:colOff>0</xdr:colOff>
                <xdr:row>0</xdr:row>
                <xdr:rowOff>0</xdr:rowOff>
              </xdr:from>
              <xdr:to>
                <xdr:col>50</xdr:col>
                <xdr:colOff>-27</xdr:colOff>
                <xdr:row>3</xdr:row>
                <xdr:rowOff>12</xdr:rowOff>
              </xdr:to>
            </anchor>
          </commentPr>
        </mc:Choice>
        <mc:Fallback/>
      </mc:AlternateContent>
    </comment>
    <comment ref="AX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50</xdr:col>
                <xdr:colOff>60</xdr:colOff>
                <xdr:row>0</xdr:row>
                <xdr:rowOff>0</xdr:rowOff>
              </xdr:from>
              <xdr:to>
                <xdr:col>51</xdr:col>
                <xdr:colOff>-16</xdr:colOff>
                <xdr:row>3</xdr:row>
                <xdr:rowOff>12</xdr:rowOff>
              </xdr:to>
            </anchor>
          </commentPr>
        </mc:Choice>
        <mc:Fallback/>
      </mc:AlternateContent>
    </comment>
    <comment ref="AY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50</xdr:col>
                <xdr:colOff>156</xdr:colOff>
                <xdr:row>0</xdr:row>
                <xdr:rowOff>0</xdr:rowOff>
              </xdr:from>
              <xdr:to>
                <xdr:col>52</xdr:col>
                <xdr:colOff>64</xdr:colOff>
                <xdr:row>3</xdr:row>
                <xdr:rowOff>12</xdr:rowOff>
              </xdr:to>
            </anchor>
          </commentPr>
        </mc:Choice>
        <mc:Fallback/>
      </mc:AlternateContent>
    </comment>
    <comment ref="AZ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50</xdr:col>
                <xdr:colOff>156</xdr:colOff>
                <xdr:row>0</xdr:row>
                <xdr:rowOff>0</xdr:rowOff>
              </xdr:from>
              <xdr:to>
                <xdr:col>53</xdr:col>
                <xdr:colOff>52</xdr:colOff>
                <xdr:row>3</xdr:row>
                <xdr:rowOff>12</xdr:rowOff>
              </xdr:to>
            </anchor>
          </commentPr>
        </mc:Choice>
        <mc:Fallback/>
      </mc:AlternateContent>
    </comment>
    <comment ref="BA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51</xdr:col>
                <xdr:colOff>44</xdr:colOff>
                <xdr:row>0</xdr:row>
                <xdr:rowOff>0</xdr:rowOff>
              </xdr:from>
              <xdr:to>
                <xdr:col>53</xdr:col>
                <xdr:colOff>28</xdr:colOff>
                <xdr:row>3</xdr:row>
                <xdr:rowOff>12</xdr:rowOff>
              </xdr:to>
            </anchor>
          </commentPr>
        </mc:Choice>
        <mc:Fallback/>
      </mc:AlternateContent>
    </comment>
    <comment ref="BB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51</xdr:col>
                <xdr:colOff>44</xdr:colOff>
                <xdr:row>0</xdr:row>
                <xdr:rowOff>0</xdr:rowOff>
              </xdr:from>
              <xdr:to>
                <xdr:col>52</xdr:col>
                <xdr:colOff>28</xdr:colOff>
                <xdr:row>3</xdr:row>
                <xdr:rowOff>12</xdr:rowOff>
              </xdr:to>
            </anchor>
          </commentPr>
        </mc:Choice>
        <mc:Fallback/>
      </mc:AlternateContent>
    </comment>
    <comment ref="BC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51</xdr:col>
                <xdr:colOff>88</xdr:colOff>
                <xdr:row>0</xdr:row>
                <xdr:rowOff>0</xdr:rowOff>
              </xdr:from>
              <xdr:to>
                <xdr:col>52</xdr:col>
                <xdr:colOff>108</xdr:colOff>
                <xdr:row>3</xdr:row>
                <xdr:rowOff>12</xdr:rowOff>
              </xdr:to>
            </anchor>
          </commentPr>
        </mc:Choice>
        <mc:Fallback/>
      </mc:AlternateContent>
    </comment>
    <comment ref="BD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51</xdr:col>
                <xdr:colOff>88</xdr:colOff>
                <xdr:row>0</xdr:row>
                <xdr:rowOff>0</xdr:rowOff>
              </xdr:from>
              <xdr:to>
                <xdr:col>52</xdr:col>
                <xdr:colOff>-59</xdr:colOff>
                <xdr:row>3</xdr:row>
                <xdr:rowOff>12</xdr:rowOff>
              </xdr:to>
            </anchor>
          </commentPr>
        </mc:Choice>
        <mc:Fallback/>
      </mc:AlternateContent>
    </comment>
    <comment ref="BE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52</xdr:col>
                <xdr:colOff>16</xdr:colOff>
                <xdr:row>0</xdr:row>
                <xdr:rowOff>0</xdr:rowOff>
              </xdr:from>
              <xdr:to>
                <xdr:col>53</xdr:col>
                <xdr:colOff>-154</xdr:colOff>
                <xdr:row>3</xdr:row>
                <xdr:rowOff>12</xdr:rowOff>
              </xdr:to>
            </anchor>
          </commentPr>
        </mc:Choice>
        <mc:Fallback/>
      </mc:AlternateContent>
    </comment>
    <comment ref="BF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52</xdr:col>
                <xdr:colOff>32</xdr:colOff>
                <xdr:row>0</xdr:row>
                <xdr:rowOff>0</xdr:rowOff>
              </xdr:from>
              <xdr:to>
                <xdr:col>53</xdr:col>
                <xdr:colOff>-122</xdr:colOff>
                <xdr:row>3</xdr:row>
                <xdr:rowOff>12</xdr:rowOff>
              </xdr:to>
            </anchor>
          </commentPr>
        </mc:Choice>
        <mc:Fallback/>
      </mc:AlternateContent>
    </comment>
    <comment ref="BG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55</xdr:col>
                <xdr:colOff>132</xdr:colOff>
                <xdr:row>0</xdr:row>
                <xdr:rowOff>0</xdr:rowOff>
              </xdr:from>
              <xdr:to>
                <xdr:col>59</xdr:col>
                <xdr:colOff>164</xdr:colOff>
                <xdr:row>3</xdr:row>
                <xdr:rowOff>12</xdr:rowOff>
              </xdr:to>
            </anchor>
          </commentPr>
        </mc:Choice>
        <mc:Fallback/>
      </mc:AlternateContent>
    </comment>
    <comment ref="BH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56</xdr:col>
                <xdr:colOff>92</xdr:colOff>
                <xdr:row>0</xdr:row>
                <xdr:rowOff>0</xdr:rowOff>
              </xdr:from>
              <xdr:to>
                <xdr:col>57</xdr:col>
                <xdr:colOff>0</xdr:colOff>
                <xdr:row>3</xdr:row>
                <xdr:rowOff>12</xdr:rowOff>
              </xdr:to>
            </anchor>
          </commentPr>
        </mc:Choice>
        <mc:Fallback/>
      </mc:AlternateContent>
    </comment>
    <comment ref="BI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56</xdr:col>
                <xdr:colOff>92</xdr:colOff>
                <xdr:row>0</xdr:row>
                <xdr:rowOff>0</xdr:rowOff>
              </xdr:from>
              <xdr:to>
                <xdr:col>58</xdr:col>
                <xdr:colOff>32</xdr:colOff>
                <xdr:row>3</xdr:row>
                <xdr:rowOff>12</xdr:rowOff>
              </xdr:to>
            </anchor>
          </commentPr>
        </mc:Choice>
        <mc:Fallback/>
      </mc:AlternateContent>
    </comment>
    <comment ref="BJ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56</xdr:col>
                <xdr:colOff>92</xdr:colOff>
                <xdr:row>0</xdr:row>
                <xdr:rowOff>0</xdr:rowOff>
              </xdr:from>
              <xdr:to>
                <xdr:col>57</xdr:col>
                <xdr:colOff>0</xdr:colOff>
                <xdr:row>3</xdr:row>
                <xdr:rowOff>12</xdr:rowOff>
              </xdr:to>
            </anchor>
          </commentPr>
        </mc:Choice>
        <mc:Fallback/>
      </mc:AlternateContent>
    </comment>
    <comment ref="BK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63</xdr:col>
                <xdr:colOff>23</xdr:colOff>
                <xdr:row>0</xdr:row>
                <xdr:rowOff>0</xdr:rowOff>
              </xdr:from>
              <xdr:to>
                <xdr:col>64</xdr:col>
                <xdr:colOff>18</xdr:colOff>
                <xdr:row>5</xdr:row>
                <xdr:rowOff>10</xdr:rowOff>
              </xdr:to>
            </anchor>
          </commentPr>
        </mc:Choice>
        <mc:Fallback/>
      </mc:AlternateContent>
    </comment>
    <comment ref="BL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62</xdr:col>
                <xdr:colOff>80</xdr:colOff>
                <xdr:row>0</xdr:row>
                <xdr:rowOff>0</xdr:rowOff>
              </xdr:from>
              <xdr:to>
                <xdr:col>65</xdr:col>
                <xdr:colOff>152</xdr:colOff>
                <xdr:row>3</xdr:row>
                <xdr:rowOff>12</xdr:rowOff>
              </xdr:to>
            </anchor>
          </commentPr>
        </mc:Choice>
        <mc:Fallback/>
      </mc:AlternateContent>
    </comment>
    <comment ref="BM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62</xdr:col>
                <xdr:colOff>80</xdr:colOff>
                <xdr:row>0</xdr:row>
                <xdr:rowOff>0</xdr:rowOff>
              </xdr:from>
              <xdr:to>
                <xdr:col>65</xdr:col>
                <xdr:colOff>164</xdr:colOff>
                <xdr:row>3</xdr:row>
                <xdr:rowOff>12</xdr:rowOff>
              </xdr:to>
            </anchor>
          </commentPr>
        </mc:Choice>
        <mc:Fallback/>
      </mc:AlternateContent>
    </comment>
    <comment ref="BN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63</xdr:col>
                <xdr:colOff>28</xdr:colOff>
                <xdr:row>0</xdr:row>
                <xdr:rowOff>0</xdr:rowOff>
              </xdr:from>
              <xdr:to>
                <xdr:col>64</xdr:col>
                <xdr:colOff>100</xdr:colOff>
                <xdr:row>3</xdr:row>
                <xdr:rowOff>12</xdr:rowOff>
              </xdr:to>
            </anchor>
          </commentPr>
        </mc:Choice>
        <mc:Fallback/>
      </mc:AlternateContent>
    </comment>
    <comment ref="BO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63</xdr:col>
                <xdr:colOff>28</xdr:colOff>
                <xdr:row>0</xdr:row>
                <xdr:rowOff>0</xdr:rowOff>
              </xdr:from>
              <xdr:to>
                <xdr:col>64</xdr:col>
                <xdr:colOff>32</xdr:colOff>
                <xdr:row>3</xdr:row>
                <xdr:rowOff>12</xdr:rowOff>
              </xdr:to>
            </anchor>
          </commentPr>
        </mc:Choice>
        <mc:Fallback/>
      </mc:AlternateContent>
    </comment>
    <comment ref="BP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64</xdr:col>
                <xdr:colOff>104</xdr:colOff>
                <xdr:row>0</xdr:row>
                <xdr:rowOff>0</xdr:rowOff>
              </xdr:from>
              <xdr:to>
                <xdr:col>65</xdr:col>
                <xdr:colOff>60</xdr:colOff>
                <xdr:row>3</xdr:row>
                <xdr:rowOff>12</xdr:rowOff>
              </xdr:to>
            </anchor>
          </commentPr>
        </mc:Choice>
        <mc:Fallback/>
      </mc:AlternateContent>
    </comment>
    <comment ref="BQ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67</xdr:col>
                <xdr:colOff>72</xdr:colOff>
                <xdr:row>0</xdr:row>
                <xdr:rowOff>0</xdr:rowOff>
              </xdr:from>
              <xdr:to>
                <xdr:col>69</xdr:col>
                <xdr:colOff>16</xdr:colOff>
                <xdr:row>3</xdr:row>
                <xdr:rowOff>12</xdr:rowOff>
              </xdr:to>
            </anchor>
          </commentPr>
        </mc:Choice>
        <mc:Fallback/>
      </mc:AlternateContent>
    </comment>
    <comment ref="BR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69</xdr:col>
                <xdr:colOff>32</xdr:colOff>
                <xdr:row>0</xdr:row>
                <xdr:rowOff>0</xdr:rowOff>
              </xdr:from>
              <xdr:to>
                <xdr:col>71</xdr:col>
                <xdr:colOff>72</xdr:colOff>
                <xdr:row>3</xdr:row>
                <xdr:rowOff>12</xdr:rowOff>
              </xdr:to>
            </anchor>
          </commentPr>
        </mc:Choice>
        <mc:Fallback/>
      </mc:AlternateContent>
    </comment>
    <comment ref="BS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69</xdr:col>
                <xdr:colOff>64</xdr:colOff>
                <xdr:row>0</xdr:row>
                <xdr:rowOff>0</xdr:rowOff>
              </xdr:from>
              <xdr:to>
                <xdr:col>71</xdr:col>
                <xdr:colOff>76</xdr:colOff>
                <xdr:row>3</xdr:row>
                <xdr:rowOff>12</xdr:rowOff>
              </xdr:to>
            </anchor>
          </commentPr>
        </mc:Choice>
        <mc:Fallback/>
      </mc:AlternateContent>
    </comment>
    <comment ref="BT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69</xdr:col>
                <xdr:colOff>64</xdr:colOff>
                <xdr:row>0</xdr:row>
                <xdr:rowOff>0</xdr:rowOff>
              </xdr:from>
              <xdr:to>
                <xdr:col>71</xdr:col>
                <xdr:colOff>48</xdr:colOff>
                <xdr:row>3</xdr:row>
                <xdr:rowOff>12</xdr:rowOff>
              </xdr:to>
            </anchor>
          </commentPr>
        </mc:Choice>
        <mc:Fallback/>
      </mc:AlternateContent>
    </comment>
    <comment ref="BU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69</xdr:col>
                <xdr:colOff>64</xdr:colOff>
                <xdr:row>0</xdr:row>
                <xdr:rowOff>0</xdr:rowOff>
              </xdr:from>
              <xdr:to>
                <xdr:col>71</xdr:col>
                <xdr:colOff>16</xdr:colOff>
                <xdr:row>3</xdr:row>
                <xdr:rowOff>12</xdr:rowOff>
              </xdr:to>
            </anchor>
          </commentPr>
        </mc:Choice>
        <mc:Fallback/>
      </mc:AlternateContent>
    </comment>
    <comment ref="BV1" authorId="0">
      <text>
        <r>
          <rPr>
            <sz val="10"/>
            <rFont val="Arial"/>
            <family val="2"/>
          </rPr>
          <t xml:space="preserve">José Romeu Gonçalves:
</t>
        </r>
        <r>
          <rPr>
            <sz val="9"/>
            <color rgb="FF000000"/>
            <rFont val="Tahoma"/>
            <family val="2"/>
            <charset val="1"/>
          </rPr>
          <t xml:space="preserve">
Product Safety Information For WeighandDispense Module only</t>
        </r>
      </text>
      <mc:AlternateContent>
        <mc:Choice Requires="v2">
          <commentPr autoFill="true" autoScale="false" colHidden="false" locked="false" rowHidden="false" textHAlign="justify" textVAlign="top">
            <anchor moveWithCells="false" sizeWithCells="false">
              <xdr:from>
                <xdr:col>69</xdr:col>
                <xdr:colOff>64</xdr:colOff>
                <xdr:row>0</xdr:row>
                <xdr:rowOff>0</xdr:rowOff>
              </xdr:from>
              <xdr:to>
                <xdr:col>70</xdr:col>
                <xdr:colOff>-38</xdr:colOff>
                <xdr:row>3</xdr:row>
                <xdr:rowOff>12</xdr:rowOff>
              </xdr:to>
            </anchor>
          </commentPr>
        </mc:Choice>
        <mc:Fallback/>
      </mc:AlternateContent>
    </comment>
  </commentList>
</comments>
</file>

<file path=xl/comments8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A Specification can be used for SPC integration and it can define a lower specification value, a target value and a upper specification value.
A Characteristic is a constant value that is associated with the Product.</t>
        </r>
      </text>
      <mc:AlternateContent>
        <mc:Choice Requires="v2">
          <commentPr autoFill="true" autoScale="false" colHidden="false" locked="false" rowHidden="false" textHAlign="justify" textVAlign="top">
            <anchor moveWithCells="false" sizeWithCells="false">
              <xdr:from>
                <xdr:col>1</xdr:col>
                <xdr:colOff>40</xdr:colOff>
                <xdr:row>4</xdr:row>
                <xdr:rowOff>16</xdr:rowOff>
              </xdr:from>
              <xdr:to>
                <xdr:col>6</xdr:col>
                <xdr:colOff>68</xdr:colOff>
                <xdr:row>10</xdr:row>
                <xdr:rowOff>4</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Additional meta-data for reporting
Taken from the lookup table ProductParameterReportingType</t>
        </r>
      </text>
      <mc:AlternateContent>
        <mc:Choice Requires="v2">
          <commentPr autoFill="true" autoScale="false" colHidden="false" locked="false" rowHidden="false" textHAlign="justify" textVAlign="top">
            <anchor moveWithCells="false" sizeWithCells="false">
              <xdr:from>
                <xdr:col>6</xdr:col>
                <xdr:colOff>80</xdr:colOff>
                <xdr:row>3</xdr:row>
                <xdr:rowOff>16</xdr:rowOff>
              </xdr:from>
              <xdr:to>
                <xdr:col>10</xdr:col>
                <xdr:colOff>36</xdr:colOff>
                <xdr:row>7</xdr:row>
                <xdr:rowOff>8</xdr:rowOff>
              </xdr:to>
            </anchor>
          </commentPr>
        </mc:Choice>
        <mc:Fallback/>
      </mc:AlternateContent>
    </comment>
  </commentList>
</comments>
</file>

<file path=xl/comments8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The Step where the binning takes place</t>
        </r>
      </text>
      <mc:AlternateContent>
        <mc:Choice Requires="v2">
          <commentPr autoFill="true" autoScale="false" colHidden="false" locked="false" rowHidden="false" textHAlign="justify" textVAlign="top">
            <anchor moveWithCells="false" sizeWithCells="false">
              <xdr:from>
                <xdr:col>1</xdr:col>
                <xdr:colOff>48</xdr:colOff>
                <xdr:row>3</xdr:row>
                <xdr:rowOff>16</xdr:rowOff>
              </xdr:from>
              <xdr:to>
                <xdr:col>5</xdr:col>
                <xdr:colOff>24</xdr:colOff>
                <xdr:row>6</xdr:row>
                <xdr:rowOff>12</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MainProduct - the bin is considered to be of the same product;
SubProduct - the bin is considered to be of a different product;
Loss - the bin is considered to be a loss, in this case a Loss Reason needs to be provided;</t>
        </r>
      </text>
      <mc:AlternateContent>
        <mc:Choice Requires="v2">
          <commentPr autoFill="true" autoScale="false" colHidden="false" locked="false" rowHidden="false" textHAlign="justify" textVAlign="top">
            <anchor moveWithCells="false" sizeWithCells="false">
              <xdr:from>
                <xdr:col>4</xdr:col>
                <xdr:colOff>24</xdr:colOff>
                <xdr:row>8</xdr:row>
                <xdr:rowOff>12</xdr:rowOff>
              </xdr:from>
              <xdr:to>
                <xdr:col>10</xdr:col>
                <xdr:colOff>24</xdr:colOff>
                <xdr:row>14</xdr:row>
                <xdr:rowOff>12</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Source Product</t>
        </r>
      </text>
      <mc:AlternateContent>
        <mc:Choice Requires="v2">
          <commentPr autoFill="true" autoScale="false" colHidden="false" locked="false" rowHidden="false" textHAlign="justify" textVAlign="top">
            <anchor moveWithCells="false" sizeWithCells="false">
              <xdr:from>
                <xdr:col>8</xdr:col>
                <xdr:colOff>20</xdr:colOff>
                <xdr:row>4</xdr:row>
                <xdr:rowOff>16</xdr:rowOff>
              </xdr:from>
              <xdr:to>
                <xdr:col>9</xdr:col>
                <xdr:colOff>96</xdr:colOff>
                <xdr:row>7</xdr:row>
                <xdr:rowOff>8</xdr:rowOff>
              </xdr:to>
            </anchor>
          </commentPr>
        </mc:Choice>
        <mc:Fallback/>
      </mc:AlternateContent>
    </comment>
    <comment ref="I1" authorId="0">
      <text>
        <r>
          <rPr>
            <sz val="10"/>
            <rFont val="Arial"/>
            <family val="2"/>
          </rPr>
          <t xml:space="preserve">New product
</t>
        </r>
      </text>
      <mc:AlternateContent>
        <mc:Choice Requires="v2">
          <commentPr autoFill="true" autoScale="false" colHidden="false" locked="false" rowHidden="false" textHAlign="justify" textVAlign="top">
            <anchor moveWithCells="false" sizeWithCells="false">
              <xdr:from>
                <xdr:col>7</xdr:col>
                <xdr:colOff>76</xdr:colOff>
                <xdr:row>6</xdr:row>
                <xdr:rowOff>4</xdr:rowOff>
              </xdr:from>
              <xdr:to>
                <xdr:col>8</xdr:col>
                <xdr:colOff>72</xdr:colOff>
                <xdr:row>7</xdr:row>
                <xdr:rowOff>8</xdr:rowOff>
              </xdr:to>
            </anchor>
          </commentPr>
        </mc:Choice>
        <mc:Fallback/>
      </mc:AlternateContent>
    </comment>
  </commentList>
</comments>
</file>

<file path=xl/comments8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Francisco Andrade</author>
  </authors>
  <commentList>
    <comment ref="G1" authorId="0">
      <text>
        <r>
          <rPr>
            <sz val="10"/>
            <rFont val="Arial"/>
            <family val="2"/>
          </rPr>
          <t xml:space="preserve">Value Must be:
</t>
        </r>
        <r>
          <rPr>
            <sz val="9"/>
            <color rgb="FF000000"/>
            <rFont val="Tahoma"/>
            <family val="2"/>
            <charset val="1"/>
          </rPr>
          <t xml:space="preserve">Existing Area Name
</t>
        </r>
      </text>
      <mc:AlternateContent>
        <mc:Choice Requires="v2">
          <commentPr autoFill="true" autoScale="false" colHidden="false" locked="false" rowHidden="false" textHAlign="justify" textVAlign="top">
            <anchor moveWithCells="false" sizeWithCells="false">
              <xdr:from>
                <xdr:col>6</xdr:col>
                <xdr:colOff>32</xdr:colOff>
                <xdr:row>0</xdr:row>
                <xdr:rowOff>0</xdr:rowOff>
              </xdr:from>
              <xdr:to>
                <xdr:col>9</xdr:col>
                <xdr:colOff>4</xdr:colOff>
                <xdr:row>3</xdr:row>
                <xdr:rowOff>20</xdr:rowOff>
              </xdr:to>
            </anchor>
          </commentPr>
        </mc:Choice>
        <mc:Fallback/>
      </mc:AlternateContent>
    </comment>
    <comment ref="H1" authorId="0">
      <text>
        <r>
          <rPr>
            <sz val="10"/>
            <rFont val="Arial"/>
            <family val="2"/>
          </rPr>
          <t xml:space="preserve">Value Must be:
</t>
        </r>
        <r>
          <rPr>
            <sz val="9"/>
            <color rgb="FF000000"/>
            <rFont val="Tahoma"/>
            <family val="2"/>
            <charset val="1"/>
          </rPr>
          <t xml:space="preserve">Existing Enterprise Name
</t>
        </r>
      </text>
      <mc:AlternateContent>
        <mc:Choice Requires="v2">
          <commentPr autoFill="true" autoScale="false" colHidden="false" locked="false" rowHidden="false" textHAlign="justify" textVAlign="top">
            <anchor moveWithCells="false" sizeWithCells="false">
              <xdr:from>
                <xdr:col>7</xdr:col>
                <xdr:colOff>64</xdr:colOff>
                <xdr:row>0</xdr:row>
                <xdr:rowOff>0</xdr:rowOff>
              </xdr:from>
              <xdr:to>
                <xdr:col>10</xdr:col>
                <xdr:colOff>44</xdr:colOff>
                <xdr:row>3</xdr:row>
                <xdr:rowOff>20</xdr:rowOff>
              </xdr:to>
            </anchor>
          </commentPr>
        </mc:Choice>
        <mc:Fallback/>
      </mc:AlternateContent>
    </comment>
    <comment ref="I1" authorId="0">
      <text>
        <r>
          <rPr>
            <sz val="10"/>
            <rFont val="Arial"/>
            <family val="2"/>
          </rPr>
          <t xml:space="preserve">Value Must be:
</t>
        </r>
        <r>
          <rPr>
            <sz val="9"/>
            <color rgb="FF000000"/>
            <rFont val="Tahoma"/>
            <family val="2"/>
            <charset val="1"/>
          </rPr>
          <t xml:space="preserve">Existing Facility Name
</t>
        </r>
      </text>
      <mc:AlternateContent>
        <mc:Choice Requires="v2">
          <commentPr autoFill="true" autoScale="false" colHidden="false" locked="false" rowHidden="false" textHAlign="justify" textVAlign="top">
            <anchor moveWithCells="false" sizeWithCells="false">
              <xdr:from>
                <xdr:col>8</xdr:col>
                <xdr:colOff>44</xdr:colOff>
                <xdr:row>0</xdr:row>
                <xdr:rowOff>0</xdr:rowOff>
              </xdr:from>
              <xdr:to>
                <xdr:col>10</xdr:col>
                <xdr:colOff>96</xdr:colOff>
                <xdr:row>3</xdr:row>
                <xdr:rowOff>20</xdr:rowOff>
              </xdr:to>
            </anchor>
          </commentPr>
        </mc:Choice>
        <mc:Fallback/>
      </mc:AlternateContent>
    </comment>
    <comment ref="J1" authorId="0">
      <text>
        <r>
          <rPr>
            <sz val="10"/>
            <rFont val="Arial"/>
            <family val="2"/>
          </rPr>
          <t xml:space="preserve">Value Must be:
</t>
        </r>
        <r>
          <rPr>
            <sz val="9"/>
            <color rgb="FF000000"/>
            <rFont val="Tahoma"/>
            <family val="2"/>
            <charset val="1"/>
          </rPr>
          <t xml:space="preserve">Existing Site Name
</t>
        </r>
      </text>
      <mc:AlternateContent>
        <mc:Choice Requires="v2">
          <commentPr autoFill="true" autoScale="false" colHidden="false" locked="false" rowHidden="false" textHAlign="justify" textVAlign="top">
            <anchor moveWithCells="false" sizeWithCells="false">
              <xdr:from>
                <xdr:col>9</xdr:col>
                <xdr:colOff>16</xdr:colOff>
                <xdr:row>0</xdr:row>
                <xdr:rowOff>0</xdr:rowOff>
              </xdr:from>
              <xdr:to>
                <xdr:col>10</xdr:col>
                <xdr:colOff>136</xdr:colOff>
                <xdr:row>3</xdr:row>
                <xdr:rowOff>20</xdr:rowOff>
              </xdr:to>
            </anchor>
          </commentPr>
        </mc:Choice>
        <mc:Fallback/>
      </mc:AlternateContent>
    </comment>
    <comment ref="K1" authorId="0">
      <text>
        <r>
          <rPr>
            <sz val="10"/>
            <rFont val="Arial"/>
            <family val="2"/>
          </rPr>
          <t xml:space="preserve">Value Must be:
</t>
        </r>
        <r>
          <rPr>
            <sz val="9"/>
            <color rgb="FF000000"/>
            <rFont val="Tahoma"/>
            <family val="2"/>
            <charset val="1"/>
          </rPr>
          <t xml:space="preserve">Existing Calendar Name
</t>
        </r>
      </text>
      <mc:AlternateContent>
        <mc:Choice Requires="v2">
          <commentPr autoFill="true" autoScale="false" colHidden="false" locked="false" rowHidden="false" textHAlign="justify" textVAlign="top">
            <anchor moveWithCells="false" sizeWithCells="false">
              <xdr:from>
                <xdr:col>10</xdr:col>
                <xdr:colOff>44</xdr:colOff>
                <xdr:row>0</xdr:row>
                <xdr:rowOff>0</xdr:rowOff>
              </xdr:from>
              <xdr:to>
                <xdr:col>12</xdr:col>
                <xdr:colOff>12</xdr:colOff>
                <xdr:row>3</xdr:row>
                <xdr:rowOff>20</xdr:rowOff>
              </xdr:to>
            </anchor>
          </commentPr>
        </mc:Choice>
        <mc:Fallback/>
      </mc:AlternateContent>
    </comment>
    <comment ref="L1" authorId="0">
      <text>
        <r>
          <rPr>
            <sz val="10"/>
            <rFont val="Arial"/>
            <family val="2"/>
          </rPr>
          <t xml:space="preserve">Value Must belong to:
</t>
        </r>
        <r>
          <rPr>
            <sz val="9"/>
            <color rgb="FF000000"/>
            <rFont val="Tahoma"/>
            <family val="2"/>
            <charset val="1"/>
          </rPr>
          <t xml:space="preserve">Lookup Table Units</t>
        </r>
      </text>
      <mc:AlternateContent>
        <mc:Choice Requires="v2">
          <commentPr autoFill="true" autoScale="false" colHidden="false" locked="false" rowHidden="false" textHAlign="justify" textVAlign="top">
            <anchor moveWithCells="false" sizeWithCells="false">
              <xdr:from>
                <xdr:col>10</xdr:col>
                <xdr:colOff>84</xdr:colOff>
                <xdr:row>0</xdr:row>
                <xdr:rowOff>0</xdr:rowOff>
              </xdr:from>
              <xdr:to>
                <xdr:col>12</xdr:col>
                <xdr:colOff>52</xdr:colOff>
                <xdr:row>3</xdr:row>
                <xdr:rowOff>20</xdr:rowOff>
              </xdr:to>
            </anchor>
          </commentPr>
        </mc:Choice>
        <mc:Fallback/>
      </mc:AlternateContent>
    </comment>
    <comment ref="M1" authorId="0">
      <text>
        <r>
          <rPr>
            <sz val="10"/>
            <rFont val="Arial"/>
            <family val="2"/>
          </rPr>
          <t xml:space="preserve">Possible Values:
</t>
        </r>
        <r>
          <rPr>
            <sz val="9"/>
            <color rgb="FF000000"/>
            <rFont val="Tahoma"/>
            <family val="2"/>
            <charset val="1"/>
          </rPr>
          <t xml:space="preserve">- Product
- ProductGroup
</t>
        </r>
      </text>
      <mc:AlternateContent>
        <mc:Choice Requires="v2">
          <commentPr autoFill="true" autoScale="false" colHidden="false" locked="false" rowHidden="false" textHAlign="justify" textVAlign="top">
            <anchor moveWithCells="false" sizeWithCells="false">
              <xdr:from>
                <xdr:col>12</xdr:col>
                <xdr:colOff>4</xdr:colOff>
                <xdr:row>0</xdr:row>
                <xdr:rowOff>0</xdr:rowOff>
              </xdr:from>
              <xdr:to>
                <xdr:col>13</xdr:col>
                <xdr:colOff>52</xdr:colOff>
                <xdr:row>3</xdr:row>
                <xdr:rowOff>20</xdr:rowOff>
              </xdr:to>
            </anchor>
          </commentPr>
        </mc:Choice>
        <mc:Fallback/>
      </mc:AlternateContent>
    </comment>
    <comment ref="N1" authorId="0">
      <text>
        <r>
          <rPr>
            <sz val="10"/>
            <rFont val="Arial"/>
            <family val="2"/>
          </rPr>
          <t xml:space="preserve">Possible Values:
</t>
        </r>
        <r>
          <rPr>
            <sz val="9"/>
            <color rgb="FF000000"/>
            <rFont val="Tahoma"/>
            <family val="2"/>
            <charset val="1"/>
          </rPr>
          <t xml:space="preserve">- Day
- Shift
- Week
- Month
</t>
        </r>
      </text>
      <mc:AlternateContent>
        <mc:Choice Requires="v2">
          <commentPr autoFill="true" autoScale="false" colHidden="false" locked="false" rowHidden="false" textHAlign="justify" textVAlign="top">
            <anchor moveWithCells="false" sizeWithCells="false">
              <xdr:from>
                <xdr:col>12</xdr:col>
                <xdr:colOff>68</xdr:colOff>
                <xdr:row>0</xdr:row>
                <xdr:rowOff>0</xdr:rowOff>
              </xdr:from>
              <xdr:to>
                <xdr:col>14</xdr:col>
                <xdr:colOff>52</xdr:colOff>
                <xdr:row>3</xdr:row>
                <xdr:rowOff>20</xdr:rowOff>
              </xdr:to>
            </anchor>
          </commentPr>
        </mc:Choice>
        <mc:Fallback/>
      </mc:AlternateContent>
    </comment>
    <comment ref="O1" authorId="0">
      <text>
        <r>
          <rPr>
            <sz val="10"/>
            <rFont val="Arial"/>
            <family val="2"/>
          </rPr>
          <t xml:space="preserve">Time scope of the plan.
</t>
        </r>
      </text>
      <mc:AlternateContent>
        <mc:Choice Requires="v2">
          <commentPr autoFill="true" autoScale="false" colHidden="false" locked="false" rowHidden="false" textHAlign="justify" textVAlign="top">
            <anchor moveWithCells="false" sizeWithCells="false">
              <xdr:from>
                <xdr:col>14</xdr:col>
                <xdr:colOff>16</xdr:colOff>
                <xdr:row>0</xdr:row>
                <xdr:rowOff>0</xdr:rowOff>
              </xdr:from>
              <xdr:to>
                <xdr:col>15</xdr:col>
                <xdr:colOff>48</xdr:colOff>
                <xdr:row>3</xdr:row>
                <xdr:rowOff>20</xdr:rowOff>
              </xdr:to>
            </anchor>
          </commentPr>
        </mc:Choice>
        <mc:Fallback/>
      </mc:AlternateContent>
    </comment>
    <comment ref="P1" authorId="0">
      <text>
        <r>
          <rPr>
            <sz val="10"/>
            <rFont val="Arial"/>
            <family val="2"/>
          </rPr>
          <t xml:space="preserve">Initial period where the plan is not changed, once it is reached.</t>
        </r>
      </text>
      <mc:AlternateContent>
        <mc:Choice Requires="v2">
          <commentPr autoFill="true" autoScale="false" colHidden="false" locked="false" rowHidden="false" textHAlign="justify" textVAlign="top">
            <anchor moveWithCells="false" sizeWithCells="false">
              <xdr:from>
                <xdr:col>14</xdr:col>
                <xdr:colOff>108</xdr:colOff>
                <xdr:row>0</xdr:row>
                <xdr:rowOff>0</xdr:rowOff>
              </xdr:from>
              <xdr:to>
                <xdr:col>16</xdr:col>
                <xdr:colOff>48</xdr:colOff>
                <xdr:row>3</xdr:row>
                <xdr:rowOff>20</xdr:rowOff>
              </xdr:to>
            </anchor>
          </commentPr>
        </mc:Choice>
        <mc:Fallback/>
      </mc:AlternateContent>
    </comment>
    <comment ref="Q1" authorId="0">
      <text>
        <r>
          <rPr>
            <sz val="10"/>
            <rFont val="Arial"/>
            <family val="2"/>
          </rPr>
          <t xml:space="preserve">Possible Values:
</t>
        </r>
        <r>
          <rPr>
            <sz val="9"/>
            <color rgb="FF000000"/>
            <rFont val="Tahoma"/>
            <family val="2"/>
            <charset val="1"/>
          </rPr>
          <t xml:space="preserve">- BreakdownEvenlyByPeriod
- None
- Rule
</t>
        </r>
      </text>
      <mc:AlternateContent>
        <mc:Choice Requires="v2">
          <commentPr autoFill="true" autoScale="false" colHidden="false" locked="false" rowHidden="false" textHAlign="justify" textVAlign="top">
            <anchor moveWithCells="false" sizeWithCells="false">
              <xdr:from>
                <xdr:col>16</xdr:col>
                <xdr:colOff>156</xdr:colOff>
                <xdr:row>0</xdr:row>
                <xdr:rowOff>0</xdr:rowOff>
              </xdr:from>
              <xdr:to>
                <xdr:col>17</xdr:col>
                <xdr:colOff>132</xdr:colOff>
                <xdr:row>3</xdr:row>
                <xdr:rowOff>20</xdr:rowOff>
              </xdr:to>
            </anchor>
          </commentPr>
        </mc:Choice>
        <mc:Fallback/>
      </mc:AlternateContent>
    </comment>
    <comment ref="R1" authorId="0">
      <text>
        <r>
          <rPr>
            <sz val="10"/>
            <rFont val="Arial"/>
            <family val="2"/>
          </rPr>
          <t xml:space="preserve">Value Must be:
</t>
        </r>
        <r>
          <rPr>
            <sz val="9"/>
            <color rgb="FF000000"/>
            <rFont val="Tahoma"/>
            <family val="2"/>
            <charset val="1"/>
          </rPr>
          <t xml:space="preserve">Existing Rule Name
</t>
        </r>
      </text>
      <mc:AlternateContent>
        <mc:Choice Requires="v2">
          <commentPr autoFill="true" autoScale="false" colHidden="false" locked="false" rowHidden="false" textHAlign="justify" textVAlign="top">
            <anchor moveWithCells="false" sizeWithCells="false">
              <xdr:from>
                <xdr:col>17</xdr:col>
                <xdr:colOff>144</xdr:colOff>
                <xdr:row>0</xdr:row>
                <xdr:rowOff>0</xdr:rowOff>
              </xdr:from>
              <xdr:to>
                <xdr:col>18</xdr:col>
                <xdr:colOff>48</xdr:colOff>
                <xdr:row>3</xdr:row>
                <xdr:rowOff>20</xdr:rowOff>
              </xdr:to>
            </anchor>
          </commentPr>
        </mc:Choice>
        <mc:Fallback/>
      </mc:AlternateContent>
    </comment>
  </commentList>
</comments>
</file>

<file path=xl/comments8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Francisco Andrade</author>
  </authors>
  <commentList>
    <comment ref="B1" authorId="0">
      <text>
        <r>
          <rPr>
            <sz val="10"/>
            <rFont val="Arial"/>
            <family val="2"/>
          </rPr>
          <t xml:space="preserve">Value Must belong to:
</t>
        </r>
        <r>
          <rPr>
            <sz val="9"/>
            <color rgb="FF000000"/>
            <rFont val="Tahoma"/>
            <family val="2"/>
            <charset val="1"/>
          </rPr>
          <t xml:space="preserve">LookupTable MaterialType</t>
        </r>
      </text>
      <mc:AlternateContent>
        <mc:Choice Requires="v2">
          <commentPr autoFill="true" autoScale="false" colHidden="false" locked="false" rowHidden="false" textHAlign="justify" textVAlign="top">
            <anchor moveWithCells="false" sizeWithCells="false">
              <xdr:from>
                <xdr:col>1</xdr:col>
                <xdr:colOff>80</xdr:colOff>
                <xdr:row>0</xdr:row>
                <xdr:rowOff>0</xdr:rowOff>
              </xdr:from>
              <xdr:to>
                <xdr:col>4</xdr:col>
                <xdr:colOff>4</xdr:colOff>
                <xdr:row>3</xdr:row>
                <xdr:rowOff>20</xdr:rowOff>
              </xdr:to>
            </anchor>
          </commentPr>
        </mc:Choice>
        <mc:Fallback/>
      </mc:AlternateContent>
    </comment>
  </commentList>
</comments>
</file>

<file path=xl/comments9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Francisco Andrade</author>
  </authors>
  <commentList>
    <comment ref="A1" authorId="0">
      <text>
        <r>
          <rPr>
            <sz val="10"/>
            <rFont val="Arial"/>
            <family val="2"/>
          </rPr>
          <t xml:space="preserve">Reference to the Effective Plan.
</t>
        </r>
      </text>
      <mc:AlternateContent>
        <mc:Choice Requires="v2">
          <commentPr autoFill="true" autoScale="false" colHidden="false" locked="false" rowHidden="false" textHAlign="justify" textVAlign="top">
            <anchor moveWithCells="false" sizeWithCells="false">
              <xdr:from>
                <xdr:col>0</xdr:col>
                <xdr:colOff>48</xdr:colOff>
                <xdr:row>0</xdr:row>
                <xdr:rowOff>0</xdr:rowOff>
              </xdr:from>
              <xdr:to>
                <xdr:col>2</xdr:col>
                <xdr:colOff>24</xdr:colOff>
                <xdr:row>3</xdr:row>
                <xdr:rowOff>20</xdr:rowOff>
              </xdr:to>
            </anchor>
          </commentPr>
        </mc:Choice>
        <mc:Fallback/>
      </mc:AlternateContent>
    </comment>
    <comment ref="B1" authorId="0">
      <text>
        <r>
          <rPr>
            <sz val="10"/>
            <rFont val="Arial"/>
            <family val="2"/>
          </rPr>
          <t xml:space="preserve">Plan Scenario Name.
</t>
        </r>
      </text>
      <mc:AlternateContent>
        <mc:Choice Requires="v2">
          <commentPr autoFill="true" autoScale="false" colHidden="false" locked="false" rowHidden="false" textHAlign="justify" textVAlign="top">
            <anchor moveWithCells="false" sizeWithCells="false">
              <xdr:from>
                <xdr:col>1</xdr:col>
                <xdr:colOff>80</xdr:colOff>
                <xdr:row>0</xdr:row>
                <xdr:rowOff>0</xdr:rowOff>
              </xdr:from>
              <xdr:to>
                <xdr:col>3</xdr:col>
                <xdr:colOff>36</xdr:colOff>
                <xdr:row>3</xdr:row>
                <xdr:rowOff>20</xdr:rowOff>
              </xdr:to>
            </anchor>
          </commentPr>
        </mc:Choice>
        <mc:Fallback/>
      </mc:AlternateContent>
    </comment>
    <comment ref="D1" authorId="0">
      <text>
        <r>
          <rPr>
            <sz val="10"/>
            <rFont val="Arial"/>
            <family val="2"/>
          </rPr>
          <t xml:space="preserve">The Month to which Plan Scenario Target values will apply.
</t>
        </r>
        <r>
          <rPr>
            <b val="true"/>
            <sz val="9"/>
            <color rgb="FF000000"/>
            <rFont val="Tahoma"/>
            <family val="2"/>
            <charset val="1"/>
          </rPr>
          <t xml:space="preserve">Available formats:
- </t>
        </r>
        <r>
          <rPr>
            <sz val="9"/>
            <color rgb="FF000000"/>
            <rFont val="Tahoma"/>
            <family val="2"/>
            <charset val="1"/>
          </rPr>
          <t xml:space="preserve">YYYY/MM
</t>
        </r>
      </text>
      <mc:AlternateContent>
        <mc:Choice Requires="v2">
          <commentPr autoFill="true" autoScale="false" colHidden="false" locked="false" rowHidden="false" textHAlign="justify" textVAlign="top">
            <anchor moveWithCells="false" sizeWithCells="false">
              <xdr:from>
                <xdr:col>2</xdr:col>
                <xdr:colOff>72</xdr:colOff>
                <xdr:row>0</xdr:row>
                <xdr:rowOff>0</xdr:rowOff>
              </xdr:from>
              <xdr:to>
                <xdr:col>4</xdr:col>
                <xdr:colOff>88</xdr:colOff>
                <xdr:row>4</xdr:row>
                <xdr:rowOff>20</xdr:rowOff>
              </xdr:to>
            </anchor>
          </commentPr>
        </mc:Choice>
        <mc:Fallback/>
      </mc:AlternateContent>
    </comment>
    <comment ref="E1" authorId="0">
      <text>
        <r>
          <rPr>
            <sz val="10"/>
            <rFont val="Arial"/>
            <family val="2"/>
          </rPr>
          <t xml:space="preserve">The Week to which Plan Scenario Target values will apply.
</t>
        </r>
        <r>
          <rPr>
            <b val="true"/>
            <sz val="9"/>
            <color rgb="FF000000"/>
            <rFont val="Tahoma"/>
            <family val="2"/>
            <charset val="1"/>
          </rPr>
          <t xml:space="preserve">Available formats:
</t>
        </r>
        <r>
          <rPr>
            <sz val="9"/>
            <color rgb="FF000000"/>
            <rFont val="Tahoma"/>
            <family val="2"/>
            <charset val="1"/>
          </rPr>
          <t xml:space="preserve">- YYYY/MM/DD - YYYY/MM/DD
- YYY CWnn, where 'nn' indicates the calendar week number
</t>
        </r>
      </text>
      <mc:AlternateContent>
        <mc:Choice Requires="v2">
          <commentPr autoFill="true" autoScale="false" colHidden="false" locked="false" rowHidden="false" textHAlign="justify" textVAlign="top">
            <anchor moveWithCells="false" sizeWithCells="false">
              <xdr:from>
                <xdr:col>4</xdr:col>
                <xdr:colOff>8</xdr:colOff>
                <xdr:row>0</xdr:row>
                <xdr:rowOff>0</xdr:rowOff>
              </xdr:from>
              <xdr:to>
                <xdr:col>5</xdr:col>
                <xdr:colOff>36</xdr:colOff>
                <xdr:row>6</xdr:row>
                <xdr:rowOff>4</xdr:rowOff>
              </xdr:to>
            </anchor>
          </commentPr>
        </mc:Choice>
        <mc:Fallback/>
      </mc:AlternateContent>
    </comment>
    <comment ref="F1" authorId="0">
      <text>
        <r>
          <rPr>
            <sz val="10"/>
            <rFont val="Arial"/>
            <family val="2"/>
          </rPr>
          <t xml:space="preserve">The Day to which Plan Scenario Target values will apply.
</t>
        </r>
        <r>
          <rPr>
            <b val="true"/>
            <sz val="9"/>
            <color rgb="FF000000"/>
            <rFont val="Tahoma"/>
            <family val="2"/>
            <charset val="1"/>
          </rPr>
          <t xml:space="preserve">
Available formats:
</t>
        </r>
        <r>
          <rPr>
            <sz val="9"/>
            <color rgb="FF000000"/>
            <rFont val="Tahoma"/>
            <family val="2"/>
            <charset val="1"/>
          </rPr>
          <t xml:space="preserve">- YYYY/MM/DD
- DD/MM/YYYY
- MM/DD/YYYY
</t>
        </r>
      </text>
      <mc:AlternateContent>
        <mc:Choice Requires="v2">
          <commentPr autoFill="true" autoScale="false" colHidden="false" locked="false" rowHidden="false" textHAlign="justify" textVAlign="top">
            <anchor moveWithCells="false" sizeWithCells="false">
              <xdr:from>
                <xdr:col>4</xdr:col>
                <xdr:colOff>124</xdr:colOff>
                <xdr:row>3</xdr:row>
                <xdr:rowOff>0</xdr:rowOff>
              </xdr:from>
              <xdr:to>
                <xdr:col>6</xdr:col>
                <xdr:colOff>16</xdr:colOff>
                <xdr:row>9</xdr:row>
                <xdr:rowOff>8</xdr:rowOff>
              </xdr:to>
            </anchor>
          </commentPr>
        </mc:Choice>
        <mc:Fallback/>
      </mc:AlternateContent>
    </comment>
    <comment ref="G1" authorId="0">
      <text>
        <r>
          <rPr>
            <sz val="10"/>
            <rFont val="Arial"/>
            <family val="2"/>
          </rPr>
          <t xml:space="preserve">The Shift to which Plan Scenario Target values will apply.
</t>
        </r>
        <r>
          <rPr>
            <b val="true"/>
            <sz val="9"/>
            <color rgb="FF000000"/>
            <rFont val="Tahoma"/>
            <family val="2"/>
            <charset val="1"/>
          </rPr>
          <t xml:space="preserve">
- </t>
        </r>
        <r>
          <rPr>
            <sz val="9"/>
            <color rgb="FF000000"/>
            <rFont val="Tahoma"/>
            <family val="2"/>
            <charset val="1"/>
          </rPr>
          <t xml:space="preserve">Must reference a calendar shift.
- It is mandatory for column Day to also be defined.</t>
        </r>
      </text>
      <mc:AlternateContent>
        <mc:Choice Requires="v2">
          <commentPr autoFill="true" autoScale="false" colHidden="false" locked="false" rowHidden="false" textHAlign="justify" textVAlign="top">
            <anchor moveWithCells="false" sizeWithCells="false">
              <xdr:from>
                <xdr:col>5</xdr:col>
                <xdr:colOff>24</xdr:colOff>
                <xdr:row>0</xdr:row>
                <xdr:rowOff>0</xdr:rowOff>
              </xdr:from>
              <xdr:to>
                <xdr:col>8</xdr:col>
                <xdr:colOff>16</xdr:colOff>
                <xdr:row>4</xdr:row>
                <xdr:rowOff>20</xdr:rowOff>
              </xdr:to>
            </anchor>
          </commentPr>
        </mc:Choice>
        <mc:Fallback/>
      </mc:AlternateContent>
    </comment>
    <comment ref="H1" authorId="0">
      <text>
        <r>
          <rPr>
            <sz val="10"/>
            <rFont val="Arial"/>
            <family val="2"/>
          </rPr>
          <t xml:space="preserve">If this column is defined, only PlanItem's matching this Product will be considered.
</t>
        </r>
      </text>
      <mc:AlternateContent>
        <mc:Choice Requires="v2">
          <commentPr autoFill="true" autoScale="false" colHidden="false" locked="false" rowHidden="false" textHAlign="justify" textVAlign="top">
            <anchor moveWithCells="false" sizeWithCells="false">
              <xdr:from>
                <xdr:col>6</xdr:col>
                <xdr:colOff>20</xdr:colOff>
                <xdr:row>0</xdr:row>
                <xdr:rowOff>0</xdr:rowOff>
              </xdr:from>
              <xdr:to>
                <xdr:col>8</xdr:col>
                <xdr:colOff>52</xdr:colOff>
                <xdr:row>3</xdr:row>
                <xdr:rowOff>20</xdr:rowOff>
              </xdr:to>
            </anchor>
          </commentPr>
        </mc:Choice>
        <mc:Fallback/>
      </mc:AlternateContent>
    </comment>
    <comment ref="I1" authorId="0">
      <text>
        <r>
          <rPr>
            <sz val="10"/>
            <rFont val="Arial"/>
            <family val="2"/>
          </rPr>
          <t xml:space="preserve">If this column is defined, only PlanItem's matching this ProductGroup will be considered.
</t>
        </r>
      </text>
      <mc:AlternateContent>
        <mc:Choice Requires="v2">
          <commentPr autoFill="true" autoScale="false" colHidden="false" locked="false" rowHidden="false" textHAlign="justify" textVAlign="top">
            <anchor moveWithCells="false" sizeWithCells="false">
              <xdr:from>
                <xdr:col>7</xdr:col>
                <xdr:colOff>16</xdr:colOff>
                <xdr:row>0</xdr:row>
                <xdr:rowOff>0</xdr:rowOff>
              </xdr:from>
              <xdr:to>
                <xdr:col>8</xdr:col>
                <xdr:colOff>84</xdr:colOff>
                <xdr:row>3</xdr:row>
                <xdr:rowOff>20</xdr:rowOff>
              </xdr:to>
            </anchor>
          </commentPr>
        </mc:Choice>
        <mc:Fallback/>
      </mc:AlternateContent>
    </comment>
    <comment ref="J1" authorId="0">
      <text>
        <r>
          <rPr>
            <sz val="10"/>
            <rFont val="Arial"/>
            <family val="2"/>
          </rPr>
          <t xml:space="preserve">The PlanTimeFrameItem's PlannedVolume.
</t>
        </r>
      </text>
      <mc:AlternateContent>
        <mc:Choice Requires="v2">
          <commentPr autoFill="true" autoScale="false" colHidden="false" locked="false" rowHidden="false" textHAlign="justify" textVAlign="top">
            <anchor moveWithCells="false" sizeWithCells="false">
              <xdr:from>
                <xdr:col>7</xdr:col>
                <xdr:colOff>68</xdr:colOff>
                <xdr:row>0</xdr:row>
                <xdr:rowOff>0</xdr:rowOff>
              </xdr:from>
              <xdr:to>
                <xdr:col>9</xdr:col>
                <xdr:colOff>72</xdr:colOff>
                <xdr:row>3</xdr:row>
                <xdr:rowOff>20</xdr:rowOff>
              </xdr:to>
            </anchor>
          </commentPr>
        </mc:Choice>
        <mc:Fallback/>
      </mc:AlternateContent>
    </comment>
  </commentList>
</comments>
</file>

<file path=xl/comments9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To use or not zero when transitioning from a Service to itself.</t>
        </r>
      </text>
      <mc:AlternateContent>
        <mc:Choice Requires="v2">
          <commentPr autoFill="true" autoScale="false" colHidden="false" locked="false" rowHidden="false" textHAlign="justify" textVAlign="top">
            <anchor moveWithCells="false" sizeWithCells="false">
              <xdr:from>
                <xdr:col>3</xdr:col>
                <xdr:colOff>60</xdr:colOff>
                <xdr:row>5</xdr:row>
                <xdr:rowOff>12</xdr:rowOff>
              </xdr:from>
              <xdr:to>
                <xdr:col>6</xdr:col>
                <xdr:colOff>16</xdr:colOff>
                <xdr:row>9</xdr:row>
                <xdr:rowOff>4</xdr:rowOff>
              </xdr:to>
            </anchor>
          </commentPr>
        </mc:Choice>
        <mc:Fallback/>
      </mc:AlternateContent>
    </comment>
  </commentList>
</comments>
</file>

<file path=xl/comments9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B1" authorId="0">
      <text>
        <r>
          <rPr>
            <sz val="10"/>
            <rFont val="Arial"/>
            <family val="2"/>
          </rPr>
          <t xml:space="preserve">José Romeu Gonçalves:
</t>
        </r>
        <r>
          <rPr>
            <sz val="9"/>
            <color rgb="FF000000"/>
            <rFont val="Tahoma"/>
            <family val="2"/>
            <charset val="1"/>
          </rPr>
          <t xml:space="preserve">
only Services which are set on Resources</t>
        </r>
      </text>
      <mc:AlternateContent>
        <mc:Choice Requires="v2">
          <commentPr autoFill="true" autoScale="false" colHidden="false" locked="false" rowHidden="false" textHAlign="justify" textVAlign="top">
            <anchor moveWithCells="false" sizeWithCells="false">
              <xdr:from>
                <xdr:col>2</xdr:col>
                <xdr:colOff>48</xdr:colOff>
                <xdr:row>0</xdr:row>
                <xdr:rowOff>0</xdr:rowOff>
              </xdr:from>
              <xdr:to>
                <xdr:col>6</xdr:col>
                <xdr:colOff>20</xdr:colOff>
                <xdr:row>2</xdr:row>
                <xdr:rowOff>20</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
only Services which are set on Resources</t>
        </r>
      </text>
      <mc:AlternateContent>
        <mc:Choice Requires="v2">
          <commentPr autoFill="true" autoScale="false" colHidden="false" locked="false" rowHidden="false" textHAlign="justify" textVAlign="top">
            <anchor moveWithCells="false" sizeWithCells="false">
              <xdr:from>
                <xdr:col>3</xdr:col>
                <xdr:colOff>64</xdr:colOff>
                <xdr:row>0</xdr:row>
                <xdr:rowOff>0</xdr:rowOff>
              </xdr:from>
              <xdr:to>
                <xdr:col>7</xdr:col>
                <xdr:colOff>44</xdr:colOff>
                <xdr:row>2</xdr:row>
                <xdr:rowOff>16</xdr:rowOff>
              </xdr:to>
            </anchor>
          </commentPr>
        </mc:Choice>
        <mc:Fallback/>
      </mc:AlternateContent>
    </comment>
  </commentList>
</comments>
</file>

<file path=xl/comments9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LookupTable FlowType</t>
        </r>
      </text>
      <mc:AlternateContent>
        <mc:Choice Requires="v2">
          <commentPr autoFill="true" autoScale="false" colHidden="false" locked="false" rowHidden="false" textHAlign="justify" textVAlign="top">
            <anchor moveWithCells="false" sizeWithCells="false">
              <xdr:from>
                <xdr:col>0</xdr:col>
                <xdr:colOff>156</xdr:colOff>
                <xdr:row>4</xdr:row>
                <xdr:rowOff>8</xdr:rowOff>
              </xdr:from>
              <xdr:to>
                <xdr:col>1</xdr:col>
                <xdr:colOff>32</xdr:colOff>
                <xdr:row>6</xdr:row>
                <xdr:rowOff>16</xdr:rowOff>
              </xdr:to>
            </anchor>
          </commentPr>
        </mc:Choice>
        <mc:Fallback/>
      </mc:AlternateContent>
    </comment>
    <comment ref="I1" authorId="1">
      <text>
        <r>
          <rPr>
            <sz val="10"/>
            <rFont val="Arial"/>
            <family val="2"/>
          </rPr>
          <t xml:space="preserve">Possible Values:
</t>
        </r>
        <r>
          <rPr>
            <sz val="9"/>
            <color rgb="FF000000"/>
            <rFont val="Tahoma"/>
            <family val="2"/>
            <charset val="1"/>
          </rPr>
          <t xml:space="preserve">
 - Step
 - Flow</t>
        </r>
      </text>
      <mc:AlternateContent>
        <mc:Choice Requires="v2">
          <commentPr autoFill="true" autoScale="false" colHidden="false" locked="false" rowHidden="false" textHAlign="justify" textVAlign="top">
            <anchor moveWithCells="false" sizeWithCells="false">
              <xdr:from>
                <xdr:col>3</xdr:col>
                <xdr:colOff>56</xdr:colOff>
                <xdr:row>3</xdr:row>
                <xdr:rowOff>16</xdr:rowOff>
              </xdr:from>
              <xdr:to>
                <xdr:col>5</xdr:col>
                <xdr:colOff>8</xdr:colOff>
                <xdr:row>6</xdr:row>
                <xdr:rowOff>16</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A disable Flow can't be used as a Default Product Flow. Create a Material in this flows.</t>
        </r>
      </text>
      <mc:AlternateContent>
        <mc:Choice Requires="v2">
          <commentPr autoFill="true" autoScale="false" colHidden="false" locked="false" rowHidden="false" textHAlign="justify" textVAlign="top">
            <anchor moveWithCells="false" sizeWithCells="false">
              <xdr:from>
                <xdr:col>8</xdr:col>
                <xdr:colOff>12</xdr:colOff>
                <xdr:row>5</xdr:row>
                <xdr:rowOff>16</xdr:rowOff>
              </xdr:from>
              <xdr:to>
                <xdr:col>10</xdr:col>
                <xdr:colOff>100</xdr:colOff>
                <xdr:row>9</xdr:row>
                <xdr:rowOff>8</xdr:rowOff>
              </xdr:to>
            </anchor>
          </commentPr>
        </mc:Choice>
        <mc:Fallback/>
      </mc:AlternateContent>
    </comment>
  </commentList>
</comments>
</file>

<file path=xl/comments9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Hélder Antunes</author>
    <author>José Romeu Gonçalves</author>
    <author>Manuel Maria Brandão</author>
  </authors>
  <commentList>
    <comment ref="C1" authorId="2">
      <text>
        <r>
          <rPr>
            <sz val="10"/>
            <rFont val="Arial"/>
            <family val="2"/>
          </rPr>
          <t xml:space="preserve">Only Valid if:
</t>
        </r>
        <r>
          <rPr>
            <sz val="9"/>
            <color rgb="FF000000"/>
            <rFont val="Tahoma"/>
            <family val="2"/>
            <charset val="1"/>
          </rPr>
          <t xml:space="preserve">
ChildType = Step</t>
        </r>
      </text>
      <mc:AlternateContent>
        <mc:Choice Requires="v2">
          <commentPr autoFill="true" autoScale="false" colHidden="false" locked="false" rowHidden="false" textHAlign="justify" textVAlign="top">
            <anchor moveWithCells="false" sizeWithCells="false">
              <xdr:from>
                <xdr:col>0</xdr:col>
                <xdr:colOff>96</xdr:colOff>
                <xdr:row>3</xdr:row>
                <xdr:rowOff>12</xdr:rowOff>
              </xdr:from>
              <xdr:to>
                <xdr:col>1</xdr:col>
                <xdr:colOff>-129</xdr:colOff>
                <xdr:row>6</xdr:row>
                <xdr:rowOff>8</xdr:rowOff>
              </xdr:to>
            </anchor>
          </commentPr>
        </mc:Choice>
        <mc:Fallback/>
      </mc:AlternateContent>
    </comment>
    <comment ref="D1" authorId="2">
      <text>
        <r>
          <rPr>
            <sz val="10"/>
            <rFont val="Arial"/>
            <family val="2"/>
          </rPr>
          <t xml:space="preserve">Only Valid if:
</t>
        </r>
        <r>
          <rPr>
            <sz val="9"/>
            <color rgb="FF000000"/>
            <rFont val="Tahoma"/>
            <family val="2"/>
            <charset val="1"/>
          </rPr>
          <t xml:space="preserve">ChildType = Step
</t>
        </r>
        <r>
          <rPr>
            <b val="true"/>
            <sz val="9"/>
            <color rgb="FF000000"/>
            <rFont val="Tahoma"/>
            <family val="2"/>
            <charset val="1"/>
          </rPr>
          <t xml:space="preserve">Syntax:
</t>
        </r>
        <r>
          <rPr>
            <sz val="9"/>
            <color rgb="FF000000"/>
            <rFont val="Tahoma"/>
            <family val="2"/>
            <charset val="1"/>
          </rPr>
          <t xml:space="preserve">Each item is delimited by a semi-colon ';'
Format of each item is like:
IsInLineRework[False] GotoFlowPath[TargetFlowPath] ReturnStep[ReturnStep] Reason[ReworkReason]
where the ReturnStep must include the information about the Correlation Id ( for example "Step:2" )
Example Rework:
IsInLineRework[False] GoToFlowPath[RepairFlow:1/Repair:1] ReturnStep[STEP2:2] Reason[Repair]</t>
        </r>
      </text>
      <mc:AlternateContent>
        <mc:Choice Requires="v2">
          <commentPr autoFill="true" autoScale="false" colHidden="false" locked="false" rowHidden="false" textHAlign="justify" textVAlign="top">
            <anchor moveWithCells="false" sizeWithCells="false">
              <xdr:from>
                <xdr:col>15</xdr:col>
                <xdr:colOff>12</xdr:colOff>
                <xdr:row>7</xdr:row>
                <xdr:rowOff>8</xdr:rowOff>
              </xdr:from>
              <xdr:to>
                <xdr:col>26</xdr:col>
                <xdr:colOff>56</xdr:colOff>
                <xdr:row>20</xdr:row>
                <xdr:rowOff>12</xdr:rowOff>
              </xdr:to>
            </anchor>
          </commentPr>
        </mc:Choice>
        <mc:Fallback/>
      </mc:AlternateContent>
    </comment>
    <comment ref="E1" authorId="2">
      <text>
        <r>
          <rPr>
            <sz val="10"/>
            <rFont val="Arial"/>
            <family val="2"/>
          </rPr>
          <t xml:space="preserve">Only valid if:
</t>
        </r>
        <r>
          <rPr>
            <sz val="9"/>
            <color rgb="FF000000"/>
            <rFont val="Tahoma"/>
            <family val="2"/>
            <charset val="1"/>
          </rPr>
          <t xml:space="preserve">Flow childType = Step</t>
        </r>
      </text>
      <mc:AlternateContent>
        <mc:Choice Requires="v2">
          <commentPr autoFill="true" autoScale="false" colHidden="false" locked="false" rowHidden="false" textHAlign="justify" textVAlign="top">
            <anchor moveWithCells="false" sizeWithCells="false">
              <xdr:from>
                <xdr:col>1</xdr:col>
                <xdr:colOff>0</xdr:colOff>
                <xdr:row>5</xdr:row>
                <xdr:rowOff>0</xdr:rowOff>
              </xdr:from>
              <xdr:to>
                <xdr:col>2</xdr:col>
                <xdr:colOff>-130</xdr:colOff>
                <xdr:row>7</xdr:row>
                <xdr:rowOff>16</xdr:rowOff>
              </xdr:to>
            </anchor>
          </commentPr>
        </mc:Choice>
        <mc:Fallback/>
      </mc:AlternateContent>
    </comment>
    <comment ref="F1" authorId="1">
      <text>
        <r>
          <rPr>
            <sz val="10"/>
            <rFont val="Arial"/>
            <family val="2"/>
          </rPr>
          <t xml:space="preserve">José Romeu Gonçalves:
</t>
        </r>
        <r>
          <rPr>
            <sz val="9"/>
            <color rgb="FF000000"/>
            <rFont val="Tahoma"/>
            <family val="2"/>
            <charset val="1"/>
          </rPr>
          <t xml:space="preserve">
Defines whether a step is skippable for an Experiment or not</t>
        </r>
      </text>
      <mc:AlternateContent>
        <mc:Choice Requires="v2">
          <commentPr autoFill="true" autoScale="false" colHidden="false" locked="false" rowHidden="false" textHAlign="justify" textVAlign="top">
            <anchor moveWithCells="false" sizeWithCells="false">
              <xdr:from>
                <xdr:col>1</xdr:col>
                <xdr:colOff>80</xdr:colOff>
                <xdr:row>5</xdr:row>
                <xdr:rowOff>8</xdr:rowOff>
              </xdr:from>
              <xdr:to>
                <xdr:col>2</xdr:col>
                <xdr:colOff>-34</xdr:colOff>
                <xdr:row>8</xdr:row>
                <xdr:rowOff>16</xdr:rowOff>
              </xdr:to>
            </anchor>
          </commentPr>
        </mc:Choice>
        <mc:Fallback/>
      </mc:AlternateContent>
    </comment>
    <comment ref="G1" authorId="0">
      <text>
        <r>
          <rPr>
            <sz val="10"/>
            <rFont val="Arial"/>
            <family val="2"/>
          </rPr>
          <t xml:space="preserve">Only valid if:
</t>
        </r>
        <r>
          <rPr>
            <sz val="9"/>
            <color rgb="FF000000"/>
            <rFont val="Tahoma"/>
            <family val="2"/>
            <charset val="1"/>
          </rPr>
          <t xml:space="preserve">Flow child type = Step and IsLine = true
The 'LineFlows' column should contain the name of one or more line Flows separated by ';'</t>
        </r>
      </text>
      <mc:AlternateContent>
        <mc:Choice Requires="v2">
          <commentPr autoFill="true" autoScale="false" colHidden="false" locked="false" rowHidden="false" textHAlign="justify" textVAlign="top">
            <anchor moveWithCells="false" sizeWithCells="false">
              <xdr:from>
                <xdr:col>0</xdr:col>
                <xdr:colOff>292</xdr:colOff>
                <xdr:row>6</xdr:row>
                <xdr:rowOff>16</xdr:rowOff>
              </xdr:from>
              <xdr:to>
                <xdr:col>3</xdr:col>
                <xdr:colOff>8</xdr:colOff>
                <xdr:row>12</xdr:row>
                <xdr:rowOff>12</xdr:rowOff>
              </xdr:to>
            </anchor>
          </commentPr>
        </mc:Choice>
        <mc:Fallback/>
      </mc:AlternateContent>
    </comment>
    <comment ref="H1" authorId="1">
      <text>
        <r>
          <rPr>
            <sz val="10"/>
            <rFont val="Arial"/>
            <family val="2"/>
          </rPr>
          <t xml:space="preserve">José Romeu Gonçalves:
</t>
        </r>
        <r>
          <rPr>
            <sz val="9"/>
            <color rgb="FF000000"/>
            <rFont val="Tahoma"/>
            <family val="2"/>
            <charset val="1"/>
          </rPr>
          <t xml:space="preserve">
The Step Logical Name in the Flow ChildType = Step
The Flow Logical Name ins the Flow ChildType = Flow</t>
        </r>
      </text>
      <mc:AlternateContent>
        <mc:Choice Requires="v2">
          <commentPr autoFill="true" autoScale="false" colHidden="false" locked="false" rowHidden="false" textHAlign="justify" textVAlign="top">
            <anchor moveWithCells="false" sizeWithCells="false">
              <xdr:from>
                <xdr:col>1</xdr:col>
                <xdr:colOff>44</xdr:colOff>
                <xdr:row>3</xdr:row>
                <xdr:rowOff>16</xdr:rowOff>
              </xdr:from>
              <xdr:to>
                <xdr:col>2</xdr:col>
                <xdr:colOff>8</xdr:colOff>
                <xdr:row>11</xdr:row>
                <xdr:rowOff>8</xdr:rowOff>
              </xdr:to>
            </anchor>
          </commentPr>
        </mc:Choice>
        <mc:Fallback/>
      </mc:AlternateContent>
    </comment>
  </commentList>
</comments>
</file>

<file path=xl/comments9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B1" authorId="0">
      <text>
        <r>
          <rPr>
            <sz val="10"/>
            <rFont val="Arial"/>
            <family val="2"/>
          </rPr>
          <t xml:space="preserve">José Romeu Gonçalves:
</t>
        </r>
        <r>
          <rPr>
            <sz val="9"/>
            <color rgb="FF000000"/>
            <rFont val="Tahoma"/>
            <family val="2"/>
            <charset val="1"/>
          </rPr>
          <t xml:space="preserve">
The Name of the Measurement Capability Mode. If the Instrument only contains one measurement capability, the mode must not be defined</t>
        </r>
      </text>
      <mc:AlternateContent>
        <mc:Choice Requires="v2">
          <commentPr autoFill="true" autoScale="false" colHidden="false" locked="false" rowHidden="false" textHAlign="justify" textVAlign="top">
            <anchor moveWithCells="false" sizeWithCells="false">
              <xdr:from>
                <xdr:col>1</xdr:col>
                <xdr:colOff>8</xdr:colOff>
                <xdr:row>4</xdr:row>
                <xdr:rowOff>4</xdr:rowOff>
              </xdr:from>
              <xdr:to>
                <xdr:col>5</xdr:col>
                <xdr:colOff>72</xdr:colOff>
                <xdr:row>8</xdr:row>
                <xdr:rowOff>4</xdr:rowOff>
              </xdr:to>
            </anchor>
          </commentPr>
        </mc:Choice>
        <mc:Fallback/>
      </mc:AlternateContent>
    </comment>
  </commentList>
</comments>
</file>

<file path=xl/comments10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G1" authorId="0">
      <text>
        <r>
          <rPr>
            <sz val="10"/>
            <rFont val="Arial"/>
            <family val="2"/>
          </rPr>
          <t xml:space="preserve">José Romeu Gonçalves:
</t>
        </r>
        <r>
          <rPr>
            <sz val="9"/>
            <color rgb="FF000000"/>
            <rFont val="Tahoma"/>
            <family val="2"/>
            <charset val="1"/>
          </rPr>
          <t xml:space="preserve">
A value from lookupTable: ConsumableFeedType
</t>
        </r>
      </text>
      <mc:AlternateContent>
        <mc:Choice Requires="v2">
          <commentPr autoFill="true" autoScale="false" colHidden="false" locked="false" rowHidden="false" textHAlign="justify" textVAlign="top">
            <anchor moveWithCells="false" sizeWithCells="false">
              <xdr:from>
                <xdr:col>6</xdr:col>
                <xdr:colOff>28</xdr:colOff>
                <xdr:row>1</xdr:row>
                <xdr:rowOff>8</xdr:rowOff>
              </xdr:from>
              <xdr:to>
                <xdr:col>8</xdr:col>
                <xdr:colOff>32</xdr:colOff>
                <xdr:row>8</xdr:row>
                <xdr:rowOff>8</xdr:rowOff>
              </xdr:to>
            </anchor>
          </commentPr>
        </mc:Choice>
        <mc:Fallback/>
      </mc:AlternateContent>
    </comment>
  </commentList>
</comments>
</file>

<file path=xl/comments10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Resource</t>
        </r>
      </text>
      <mc:AlternateContent>
        <mc:Choice Requires="v2">
          <commentPr autoFill="true" autoScale="false" colHidden="false" locked="false" rowHidden="false" textHAlign="justify" textVAlign="top">
            <anchor moveWithCells="false" sizeWithCells="false">
              <xdr:from>
                <xdr:col>1</xdr:col>
                <xdr:colOff>24</xdr:colOff>
                <xdr:row>2</xdr:row>
                <xdr:rowOff>16</xdr:rowOff>
              </xdr:from>
              <xdr:to>
                <xdr:col>2</xdr:col>
                <xdr:colOff>4</xdr:colOff>
                <xdr:row>5</xdr:row>
                <xdr:rowOff>8</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Durable</t>
        </r>
      </text>
      <mc:AlternateContent>
        <mc:Choice Requires="v2">
          <commentPr autoFill="true" autoScale="false" colHidden="false" locked="false" rowHidden="false" textHAlign="justify" textVAlign="top">
            <anchor moveWithCells="false" sizeWithCells="false">
              <xdr:from>
                <xdr:col>1</xdr:col>
                <xdr:colOff>112</xdr:colOff>
                <xdr:row>2</xdr:row>
                <xdr:rowOff>0</xdr:rowOff>
              </xdr:from>
              <xdr:to>
                <xdr:col>3</xdr:col>
                <xdr:colOff>44</xdr:colOff>
                <xdr:row>4</xdr:row>
                <xdr:rowOff>16</xdr:rowOff>
              </xdr:to>
            </anchor>
          </commentPr>
        </mc:Choice>
        <mc:Fallback/>
      </mc:AlternateContent>
    </comment>
  </commentList>
</comments>
</file>

<file path=xl/comments10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João Miguel Mimoso</author>
    <author>Manuel Maria Brandão</author>
    <author>Rui Guimarães</author>
  </authors>
  <commentList>
    <comment ref="C1" authorId="2">
      <text>
        <r>
          <rPr>
            <sz val="10"/>
            <rFont val="Arial"/>
            <family val="2"/>
          </rPr>
          <t xml:space="preserve">Value Must belong to:
</t>
        </r>
        <r>
          <rPr>
            <sz val="9"/>
            <color rgb="FF000000"/>
            <rFont val="Tahoma"/>
            <family val="2"/>
            <charset val="1"/>
          </rPr>
          <t xml:space="preserve">LookupTable ResourceType</t>
        </r>
      </text>
      <mc:AlternateContent>
        <mc:Choice Requires="v2">
          <commentPr autoFill="true" autoScale="false" colHidden="false" locked="false" rowHidden="false" textHAlign="justify" textVAlign="top">
            <anchor moveWithCells="false" sizeWithCells="false">
              <xdr:from>
                <xdr:col>3</xdr:col>
                <xdr:colOff>12</xdr:colOff>
                <xdr:row>0</xdr:row>
                <xdr:rowOff>0</xdr:rowOff>
              </xdr:from>
              <xdr:to>
                <xdr:col>4</xdr:col>
                <xdr:colOff>-6</xdr:colOff>
                <xdr:row>1</xdr:row>
                <xdr:rowOff>0</xdr:rowOff>
              </xdr:to>
            </anchor>
          </commentPr>
        </mc:Choice>
        <mc:Fallback/>
      </mc:AlternateContent>
    </comment>
    <comment ref="D1" authorId="2">
      <text>
        <r>
          <rPr>
            <sz val="10"/>
            <rFont val="Arial"/>
            <family val="2"/>
          </rPr>
          <t xml:space="preserve">Syntax:
</t>
        </r>
        <r>
          <rPr>
            <sz val="9"/>
            <color rgb="FF000000"/>
            <rFont val="Tahoma"/>
            <family val="2"/>
            <charset val="1"/>
          </rPr>
          <t xml:space="preserve">
State Model Name , "&gt;", State Name</t>
        </r>
      </text>
      <mc:AlternateContent>
        <mc:Choice Requires="v2">
          <commentPr autoFill="true" autoScale="false" colHidden="false" locked="false" rowHidden="false" textHAlign="justify" textVAlign="top">
            <anchor moveWithCells="false" sizeWithCells="false">
              <xdr:from>
                <xdr:col>4</xdr:col>
                <xdr:colOff>12</xdr:colOff>
                <xdr:row>0</xdr:row>
                <xdr:rowOff>0</xdr:rowOff>
              </xdr:from>
              <xdr:to>
                <xdr:col>6</xdr:col>
                <xdr:colOff>68</xdr:colOff>
                <xdr:row>1</xdr:row>
                <xdr:rowOff>0</xdr:rowOff>
              </xdr:to>
            </anchor>
          </commentPr>
        </mc:Choice>
        <mc:Fallback/>
      </mc:AlternateContent>
    </comment>
    <comment ref="G1" authorId="2">
      <text>
        <r>
          <rPr>
            <sz val="10"/>
            <rFont val="Arial"/>
            <family val="2"/>
          </rPr>
          <t xml:space="preserve">MANDATORY PROPERTY
</t>
        </r>
        <r>
          <rPr>
            <sz val="9"/>
            <color rgb="FF000000"/>
            <rFont val="Tahoma"/>
            <family val="2"/>
            <charset val="1"/>
          </rPr>
          <t xml:space="preserve">
- Component: a Resource that can have multiple parents, that is, it can be shared.
- Consumable Feed: resources which are used to provide consumables to other resources.
- Instrument - a Resource that is used for measuring a value in a certain unit of measure.
- Load Port:  a Resource which serves as an input, output or input/output port for a resource.
- Process:  Resources which can process material.
- Storage:  Resources which can be used to store and retrieve material.
- Line:  The Line Resource is a virtual resource that represents all the Sub‐Resources that make up the Line.
- Transport: A transport Resource for Material Logistic 
</t>
        </r>
        <r>
          <rPr>
            <b val="true"/>
            <sz val="9"/>
            <color rgb="FF000000"/>
            <rFont val="Tahoma"/>
            <family val="2"/>
            <charset val="1"/>
          </rPr>
          <t xml:space="preserve">
</t>
        </r>
      </text>
      <mc:AlternateContent>
        <mc:Choice Requires="v2">
          <commentPr autoFill="true" autoScale="false" colHidden="false" locked="false" rowHidden="false" textHAlign="justify" textVAlign="top">
            <anchor moveWithCells="false" sizeWithCells="false">
              <xdr:from>
                <xdr:col>7</xdr:col>
                <xdr:colOff>12</xdr:colOff>
                <xdr:row>0</xdr:row>
                <xdr:rowOff>0</xdr:rowOff>
              </xdr:from>
              <xdr:to>
                <xdr:col>14</xdr:col>
                <xdr:colOff>88</xdr:colOff>
                <xdr:row>4</xdr:row>
                <xdr:rowOff>12</xdr:rowOff>
              </xdr:to>
            </anchor>
          </commentPr>
        </mc:Choice>
        <mc:Fallback/>
      </mc:AlternateContent>
    </comment>
    <comment ref="H1" authorId="2">
      <text>
        <r>
          <rPr>
            <sz val="10"/>
            <rFont val="Arial"/>
            <family val="2"/>
          </rPr>
          <t xml:space="preserve">Value Must be:
</t>
        </r>
        <r>
          <rPr>
            <sz val="9"/>
            <color rgb="FF000000"/>
            <rFont val="Tahoma"/>
            <family val="2"/>
            <charset val="1"/>
          </rPr>
          <t xml:space="preserve">Existing Area Name</t>
        </r>
      </text>
      <mc:AlternateContent>
        <mc:Choice Requires="v2">
          <commentPr autoFill="true" autoScale="false" colHidden="false" locked="false" rowHidden="false" textHAlign="justify" textVAlign="top">
            <anchor moveWithCells="false" sizeWithCells="false">
              <xdr:from>
                <xdr:col>8</xdr:col>
                <xdr:colOff>12</xdr:colOff>
                <xdr:row>0</xdr:row>
                <xdr:rowOff>0</xdr:rowOff>
              </xdr:from>
              <xdr:to>
                <xdr:col>9</xdr:col>
                <xdr:colOff>84</xdr:colOff>
                <xdr:row>1</xdr:row>
                <xdr:rowOff>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From 1 to 10</t>
        </r>
      </text>
      <mc:AlternateContent>
        <mc:Choice Requires="v2">
          <commentPr autoFill="true" autoScale="false" colHidden="false" locked="false" rowHidden="false" textHAlign="justify" textVAlign="top">
            <anchor moveWithCells="false" sizeWithCells="false">
              <xdr:from>
                <xdr:col>9</xdr:col>
                <xdr:colOff>12</xdr:colOff>
                <xdr:row>0</xdr:row>
                <xdr:rowOff>0</xdr:rowOff>
              </xdr:from>
              <xdr:to>
                <xdr:col>11</xdr:col>
                <xdr:colOff>28</xdr:colOff>
                <xdr:row>1</xdr:row>
                <xdr:rowOff>0</xdr:rowOff>
              </xdr:to>
            </anchor>
          </commentPr>
        </mc:Choice>
        <mc:Fallback/>
      </mc:AlternateContent>
    </comment>
    <comment ref="K1" authorId="2">
      <text>
        <r>
          <rPr>
            <sz val="10"/>
            <rFont val="Arial"/>
            <family val="2"/>
          </rPr>
          <t xml:space="preserve">Value Must belong to:
</t>
        </r>
        <r>
          <rPr>
            <sz val="9"/>
            <color rgb="FF000000"/>
            <rFont val="Tahoma"/>
            <family val="2"/>
            <charset val="1"/>
          </rPr>
          <t xml:space="preserve">LookupTable ResourceVendor</t>
        </r>
      </text>
      <mc:AlternateContent>
        <mc:Choice Requires="v2">
          <commentPr autoFill="true" autoScale="false" colHidden="false" locked="false" rowHidden="false" textHAlign="justify" textVAlign="top">
            <anchor moveWithCells="false" sizeWithCells="false">
              <xdr:from>
                <xdr:col>11</xdr:col>
                <xdr:colOff>12</xdr:colOff>
                <xdr:row>0</xdr:row>
                <xdr:rowOff>0</xdr:rowOff>
              </xdr:from>
              <xdr:to>
                <xdr:col>13</xdr:col>
                <xdr:colOff>48</xdr:colOff>
                <xdr:row>1</xdr:row>
                <xdr:rowOff>0</xdr:rowOff>
              </xdr:to>
            </anchor>
          </commentPr>
        </mc:Choice>
        <mc:Fallback/>
      </mc:AlternateContent>
    </comment>
    <comment ref="L1" authorId="2">
      <text>
        <r>
          <rPr>
            <sz val="10"/>
            <rFont val="Arial"/>
            <family val="2"/>
          </rPr>
          <t xml:space="preserve">Value Must belong to:
</t>
        </r>
        <r>
          <rPr>
            <sz val="9"/>
            <color rgb="FF000000"/>
            <rFont val="Tahoma"/>
            <family val="2"/>
            <charset val="1"/>
          </rPr>
          <t xml:space="preserve">LookupTable ResourceModel</t>
        </r>
      </text>
      <mc:AlternateContent>
        <mc:Choice Requires="v2">
          <commentPr autoFill="true" autoScale="false" colHidden="false" locked="false" rowHidden="false" textHAlign="justify" textVAlign="top">
            <anchor moveWithCells="false" sizeWithCells="false">
              <xdr:from>
                <xdr:col>12</xdr:col>
                <xdr:colOff>12</xdr:colOff>
                <xdr:row>0</xdr:row>
                <xdr:rowOff>0</xdr:rowOff>
              </xdr:from>
              <xdr:to>
                <xdr:col>13</xdr:col>
                <xdr:colOff>80</xdr:colOff>
                <xdr:row>1</xdr:row>
                <xdr:rowOff>0</xdr:rowOff>
              </xdr:to>
            </anchor>
          </commentPr>
        </mc:Choice>
        <mc:Fallback/>
      </mc:AlternateContent>
    </comment>
    <comment ref="M1" authorId="2">
      <text>
        <r>
          <rPr>
            <sz val="10"/>
            <rFont val="Arial"/>
            <family val="2"/>
          </rPr>
          <t xml:space="preserve">Value Must belong to:
</t>
        </r>
        <r>
          <rPr>
            <sz val="9"/>
            <color rgb="FF000000"/>
            <rFont val="Tahoma"/>
            <family val="2"/>
            <charset val="1"/>
          </rPr>
          <t xml:space="preserve">LookupTable ResourceResourceType</t>
        </r>
      </text>
      <mc:AlternateContent>
        <mc:Choice Requires="v2">
          <commentPr autoFill="true" autoScale="false" colHidden="false" locked="false" rowHidden="false" textHAlign="justify" textVAlign="top">
            <anchor moveWithCells="false" sizeWithCells="false">
              <xdr:from>
                <xdr:col>13</xdr:col>
                <xdr:colOff>12</xdr:colOff>
                <xdr:row>0</xdr:row>
                <xdr:rowOff>0</xdr:rowOff>
              </xdr:from>
              <xdr:to>
                <xdr:col>15</xdr:col>
                <xdr:colOff>24</xdr:colOff>
                <xdr:row>1</xdr:row>
                <xdr:rowOff>0</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Running Mode must exist in the ResourceRunningMode Smart Table for this Resource</t>
        </r>
      </text>
      <mc:AlternateContent>
        <mc:Choice Requires="v2">
          <commentPr autoFill="true" autoScale="false" colHidden="false" locked="false" rowHidden="false" textHAlign="justify" textVAlign="top">
            <anchor moveWithCells="false" sizeWithCells="false">
              <xdr:from>
                <xdr:col>15</xdr:col>
                <xdr:colOff>12</xdr:colOff>
                <xdr:row>0</xdr:row>
                <xdr:rowOff>0</xdr:rowOff>
              </xdr:from>
              <xdr:to>
                <xdr:col>17</xdr:col>
                <xdr:colOff>44</xdr:colOff>
                <xdr:row>1</xdr:row>
                <xdr:rowOff>0</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MaterialForm must exist in the LookupTable MaterialForm
</t>
        </r>
      </text>
      <mc:AlternateContent>
        <mc:Choice Requires="v2">
          <commentPr autoFill="true" autoScale="false" colHidden="false" locked="false" rowHidden="false" textHAlign="justify" textVAlign="top">
            <anchor moveWithCells="false" sizeWithCells="false">
              <xdr:from>
                <xdr:col>18</xdr:col>
                <xdr:colOff>12</xdr:colOff>
                <xdr:row>0</xdr:row>
                <xdr:rowOff>0</xdr:rowOff>
              </xdr:from>
              <xdr:to>
                <xdr:col>20</xdr:col>
                <xdr:colOff>96</xdr:colOff>
                <xdr:row>1</xdr:row>
                <xdr:rowOff>0</xdr:rowOff>
              </xdr:to>
            </anchor>
          </commentPr>
        </mc:Choice>
        <mc:Fallback/>
      </mc:AlternateContent>
    </comment>
    <comment ref="T1" authorId="2">
      <text>
        <r>
          <rPr>
            <sz val="10"/>
            <rFont val="Arial"/>
            <family val="2"/>
          </rPr>
          <t xml:space="preserve">Value Must be:
</t>
        </r>
        <r>
          <rPr>
            <sz val="9"/>
            <color rgb="FF000000"/>
            <rFont val="Tahoma"/>
            <family val="2"/>
            <charset val="1"/>
          </rPr>
          <t xml:space="preserve">Existing SortRuleSet Name (Scope = Material)</t>
        </r>
      </text>
      <mc:AlternateContent>
        <mc:Choice Requires="v2">
          <commentPr autoFill="true" autoScale="false" colHidden="false" locked="false" rowHidden="false" textHAlign="justify" textVAlign="top">
            <anchor moveWithCells="false" sizeWithCells="false">
              <xdr:from>
                <xdr:col>20</xdr:col>
                <xdr:colOff>12</xdr:colOff>
                <xdr:row>0</xdr:row>
                <xdr:rowOff>0</xdr:rowOff>
              </xdr:from>
              <xdr:to>
                <xdr:col>21</xdr:col>
                <xdr:colOff>80</xdr:colOff>
                <xdr:row>1</xdr:row>
                <xdr:rowOff>0</xdr:rowOff>
              </xdr:to>
            </anchor>
          </commentPr>
        </mc:Choice>
        <mc:Fallback/>
      </mc:AlternateContent>
    </comment>
    <comment ref="U1" authorId="0">
      <text>
        <r>
          <rPr>
            <sz val="10"/>
            <rFont val="Arial"/>
            <family val="2"/>
          </rPr>
          <t xml:space="preserve">José Romeu Gonçalves:
</t>
        </r>
        <r>
          <rPr>
            <sz val="9"/>
            <color rgb="FF000000"/>
            <rFont val="Tahoma"/>
            <family val="2"/>
            <charset val="1"/>
          </rPr>
          <t xml:space="preserve">
Optionally, specify the maximum size (number of Materials) of the dispatch list</t>
        </r>
      </text>
      <mc:AlternateContent>
        <mc:Choice Requires="v2">
          <commentPr autoFill="true" autoScale="false" colHidden="false" locked="false" rowHidden="false" textHAlign="justify" textVAlign="top">
            <anchor moveWithCells="false" sizeWithCells="false">
              <xdr:from>
                <xdr:col>21</xdr:col>
                <xdr:colOff>12</xdr:colOff>
                <xdr:row>0</xdr:row>
                <xdr:rowOff>0</xdr:rowOff>
              </xdr:from>
              <xdr:to>
                <xdr:col>22</xdr:col>
                <xdr:colOff>-12</xdr:colOff>
                <xdr:row>1</xdr:row>
                <xdr:rowOff>0</xdr:rowOff>
              </xdr:to>
            </anchor>
          </commentPr>
        </mc:Choice>
        <mc:Fallback/>
      </mc:AlternateContent>
    </comment>
    <comment ref="V1" authorId="0">
      <text>
        <r>
          <rPr>
            <sz val="10"/>
            <rFont val="Arial"/>
            <family val="2"/>
          </rPr>
          <t xml:space="preserve">José Romeu Gonçalves:
</t>
        </r>
        <r>
          <rPr>
            <sz val="9"/>
            <color rgb="FF000000"/>
            <rFont val="Tahoma"/>
            <family val="2"/>
            <charset val="1"/>
          </rPr>
          <t xml:space="preserve">
For Unlimited Maximum Concurrent Materials in Process = -1</t>
        </r>
      </text>
      <mc:AlternateContent>
        <mc:Choice Requires="v2">
          <commentPr autoFill="true" autoScale="false" colHidden="false" locked="false" rowHidden="false" textHAlign="justify" textVAlign="top">
            <anchor moveWithCells="false" sizeWithCells="false">
              <xdr:from>
                <xdr:col>22</xdr:col>
                <xdr:colOff>12</xdr:colOff>
                <xdr:row>0</xdr:row>
                <xdr:rowOff>0</xdr:rowOff>
              </xdr:from>
              <xdr:to>
                <xdr:col>23</xdr:col>
                <xdr:colOff>148</xdr:colOff>
                <xdr:row>1</xdr:row>
                <xdr:rowOff>0</xdr:rowOff>
              </xdr:to>
            </anchor>
          </commentPr>
        </mc:Choice>
        <mc:Fallback/>
      </mc:AlternateContent>
    </comment>
    <comment ref="W1" authorId="0">
      <text>
        <r>
          <rPr>
            <sz val="10"/>
            <rFont val="Arial"/>
            <family val="2"/>
          </rPr>
          <t xml:space="preserve">José Romeu Gonçalves:
</t>
        </r>
        <r>
          <rPr>
            <sz val="9"/>
            <color rgb="FF000000"/>
            <rFont val="Tahoma"/>
            <family val="2"/>
            <charset val="1"/>
          </rPr>
          <t xml:space="preserve">
If True a recipe is requiered when a material trackin to this resource</t>
        </r>
      </text>
      <mc:AlternateContent>
        <mc:Choice Requires="v2">
          <commentPr autoFill="true" autoScale="false" colHidden="false" locked="false" rowHidden="false" textHAlign="justify" textVAlign="top">
            <anchor moveWithCells="false" sizeWithCells="false">
              <xdr:from>
                <xdr:col>23</xdr:col>
                <xdr:colOff>12</xdr:colOff>
                <xdr:row>0</xdr:row>
                <xdr:rowOff>0</xdr:rowOff>
              </xdr:from>
              <xdr:to>
                <xdr:col>24</xdr:col>
                <xdr:colOff>32</xdr:colOff>
                <xdr:row>1</xdr:row>
                <xdr:rowOff>0</xdr:rowOff>
              </xdr:to>
            </anchor>
          </commentPr>
        </mc:Choice>
        <mc:Fallback/>
      </mc:AlternateContent>
    </comment>
    <comment ref="Y1" authorId="0">
      <text>
        <r>
          <rPr>
            <sz val="10"/>
            <rFont val="Arial"/>
            <family val="2"/>
          </rPr>
          <t xml:space="preserve">José Romeu Gonçalves:
</t>
        </r>
        <r>
          <rPr>
            <sz val="9"/>
            <color rgb="FF000000"/>
            <rFont val="Tahoma"/>
            <family val="2"/>
            <charset val="1"/>
          </rPr>
          <t xml:space="preserve">
to check that the BOM version required for a certain Material at Track In matches the equipment current BOM version</t>
        </r>
      </text>
      <mc:AlternateContent>
        <mc:Choice Requires="v2">
          <commentPr autoFill="true" autoScale="false" colHidden="false" locked="false" rowHidden="false" textHAlign="justify" textVAlign="top">
            <anchor moveWithCells="false" sizeWithCells="false">
              <xdr:from>
                <xdr:col>25</xdr:col>
                <xdr:colOff>12</xdr:colOff>
                <xdr:row>0</xdr:row>
                <xdr:rowOff>0</xdr:rowOff>
              </xdr:from>
              <xdr:to>
                <xdr:col>28</xdr:col>
                <xdr:colOff>36</xdr:colOff>
                <xdr:row>1</xdr:row>
                <xdr:rowOff>0</xdr:rowOff>
              </xdr:to>
            </anchor>
          </commentPr>
        </mc:Choice>
        <mc:Fallback/>
      </mc:AlternateContent>
    </comment>
    <comment ref="AG1" authorId="2">
      <text>
        <r>
          <rPr>
            <sz val="10"/>
            <rFont val="Arial"/>
            <family val="2"/>
          </rPr>
          <t xml:space="preserve">Possible Values:
</t>
        </r>
        <r>
          <rPr>
            <sz val="9"/>
            <color rgb="FF000000"/>
            <rFont val="Tahoma"/>
            <family val="2"/>
            <charset val="1"/>
          </rPr>
          <t xml:space="preserve">
None
Input - the load port is only input.
Output - the load port is only output.
Input/Output - the load port serves both as input and output.</t>
        </r>
      </text>
      <mc:AlternateContent>
        <mc:Choice Requires="v2">
          <commentPr autoFill="true" autoScale="false" colHidden="false" locked="false" rowHidden="false" textHAlign="justify" textVAlign="top">
            <anchor moveWithCells="false" sizeWithCells="false">
              <xdr:from>
                <xdr:col>33</xdr:col>
                <xdr:colOff>12</xdr:colOff>
                <xdr:row>0</xdr:row>
                <xdr:rowOff>0</xdr:rowOff>
              </xdr:from>
              <xdr:to>
                <xdr:col>35</xdr:col>
                <xdr:colOff>121</xdr:colOff>
                <xdr:row>1</xdr:row>
                <xdr:rowOff>12</xdr:rowOff>
              </xdr:to>
            </anchor>
          </commentPr>
        </mc:Choice>
        <mc:Fallback/>
      </mc:AlternateContent>
    </comment>
    <comment ref="AI1" authorId="0">
      <text>
        <r>
          <rPr>
            <sz val="10"/>
            <rFont val="Arial"/>
            <family val="2"/>
          </rPr>
          <t xml:space="preserve">José Romeu Gonçalves:
</t>
        </r>
        <r>
          <rPr>
            <sz val="9"/>
            <color rgb="FF000000"/>
            <rFont val="Tahoma"/>
            <family val="2"/>
            <charset val="1"/>
          </rPr>
          <t xml:space="preserve">
An Existing Container Type defined in the Lookup Table "ContainerType"</t>
        </r>
      </text>
      <mc:AlternateContent>
        <mc:Choice Requires="v2">
          <commentPr autoFill="true" autoScale="false" colHidden="false" locked="false" rowHidden="false" textHAlign="justify" textVAlign="top">
            <anchor moveWithCells="false" sizeWithCells="false">
              <xdr:from>
                <xdr:col>35</xdr:col>
                <xdr:colOff>12</xdr:colOff>
                <xdr:row>0</xdr:row>
                <xdr:rowOff>0</xdr:rowOff>
              </xdr:from>
              <xdr:to>
                <xdr:col>36</xdr:col>
                <xdr:colOff>-29</xdr:colOff>
                <xdr:row>1</xdr:row>
                <xdr:rowOff>0</xdr:rowOff>
              </xdr:to>
            </anchor>
          </commentPr>
        </mc:Choice>
        <mc:Fallback/>
      </mc:AlternateContent>
    </comment>
    <comment ref="AN1" authorId="0">
      <text>
        <r>
          <rPr>
            <sz val="10"/>
            <rFont val="Arial"/>
            <family val="2"/>
          </rPr>
          <t xml:space="preserve">José Romeu Gonçalves:
</t>
        </r>
        <r>
          <rPr>
            <sz val="9"/>
            <color rgb="FF000000"/>
            <rFont val="Tahoma"/>
            <family val="2"/>
            <charset val="1"/>
          </rPr>
          <t xml:space="preserve">
A value from LookupTable: LocationType</t>
        </r>
      </text>
      <mc:AlternateContent>
        <mc:Choice Requires="v2">
          <commentPr autoFill="true" autoScale="false" colHidden="false" locked="false" rowHidden="false" textHAlign="justify" textVAlign="top">
            <anchor moveWithCells="false" sizeWithCells="false">
              <xdr:from>
                <xdr:col>40</xdr:col>
                <xdr:colOff>12</xdr:colOff>
                <xdr:row>0</xdr:row>
                <xdr:rowOff>0</xdr:rowOff>
              </xdr:from>
              <xdr:to>
                <xdr:col>41</xdr:col>
                <xdr:colOff>112</xdr:colOff>
                <xdr:row>1</xdr:row>
                <xdr:rowOff>0</xdr:rowOff>
              </xdr:to>
            </anchor>
          </commentPr>
        </mc:Choice>
        <mc:Fallback/>
      </mc:AlternateContent>
    </comment>
    <comment ref="AO1" authorId="0">
      <text>
        <r>
          <rPr>
            <sz val="10"/>
            <rFont val="Arial"/>
            <family val="2"/>
          </rPr>
          <t xml:space="preserve">José Romeu Gonçalves:
</t>
        </r>
        <r>
          <rPr>
            <sz val="9"/>
            <color rgb="FF000000"/>
            <rFont val="Tahoma"/>
            <family val="2"/>
            <charset val="1"/>
          </rPr>
          <t xml:space="preserve">
specifying how many physical dimensions does the storage resource have for tracking positions with dimension one being the X-axis, dimension two being the Y-axis and dimension three being the Z-axis</t>
        </r>
      </text>
      <mc:AlternateContent>
        <mc:Choice Requires="v2">
          <commentPr autoFill="true" autoScale="false" colHidden="false" locked="false" rowHidden="false" textHAlign="justify" textVAlign="top">
            <anchor moveWithCells="false" sizeWithCells="false">
              <xdr:from>
                <xdr:col>40</xdr:col>
                <xdr:colOff>144</xdr:colOff>
                <xdr:row>0</xdr:row>
                <xdr:rowOff>0</xdr:rowOff>
              </xdr:from>
              <xdr:to>
                <xdr:col>43</xdr:col>
                <xdr:colOff>56</xdr:colOff>
                <xdr:row>2</xdr:row>
                <xdr:rowOff>12</xdr:rowOff>
              </xdr:to>
            </anchor>
          </commentPr>
        </mc:Choice>
        <mc:Fallback/>
      </mc:AlternateContent>
    </comment>
    <comment ref="AP1" authorId="1">
      <text>
        <r>
          <rPr>
            <sz val="10"/>
            <rFont val="Arial"/>
            <family val="2"/>
          </rPr>
          <t xml:space="preserve">João Miguel Mimoso:
</t>
        </r>
        <r>
          <rPr>
            <sz val="9"/>
            <color rgb="FF000000"/>
            <rFont val="Tahoma"/>
            <family val="2"/>
            <charset val="1"/>
          </rPr>
          <t xml:space="preserve">
{X}.{Y}.{Z}
or
{X}.{Y}.{Z}-{0}</t>
        </r>
      </text>
      <mc:AlternateContent>
        <mc:Choice Requires="v2">
          <commentPr autoFill="true" autoScale="false" colHidden="false" locked="false" rowHidden="false" textHAlign="justify" textVAlign="top">
            <anchor moveWithCells="false" sizeWithCells="false">
              <xdr:from>
                <xdr:col>42</xdr:col>
                <xdr:colOff>92</xdr:colOff>
                <xdr:row>0</xdr:row>
                <xdr:rowOff>0</xdr:rowOff>
              </xdr:from>
              <xdr:to>
                <xdr:col>44</xdr:col>
                <xdr:colOff>68</xdr:colOff>
                <xdr:row>1</xdr:row>
                <xdr:rowOff>16</xdr:rowOff>
              </xdr:to>
            </anchor>
          </commentPr>
        </mc:Choice>
        <mc:Fallback/>
      </mc:AlternateContent>
    </comment>
    <comment ref="AR1" authorId="0">
      <text>
        <r>
          <rPr>
            <sz val="10"/>
            <rFont val="Arial"/>
            <family val="2"/>
          </rPr>
          <t xml:space="preserve">José Romeu Gonçalves:
</t>
        </r>
        <r>
          <rPr>
            <sz val="9"/>
            <color rgb="FF000000"/>
            <rFont val="Tahoma"/>
            <family val="2"/>
            <charset val="1"/>
          </rPr>
          <t xml:space="preserve">
how the X dimension is addressed: 0 defines a mandatory digit; 9 defines an optional digit; A defines a mandatory letter; Z defines an optional letter</t>
        </r>
      </text>
      <mc:AlternateContent>
        <mc:Choice Requires="v2">
          <commentPr autoFill="true" autoScale="false" colHidden="false" locked="false" rowHidden="false" textHAlign="justify" textVAlign="top">
            <anchor moveWithCells="false" sizeWithCells="false">
              <xdr:from>
                <xdr:col>44</xdr:col>
                <xdr:colOff>92</xdr:colOff>
                <xdr:row>0</xdr:row>
                <xdr:rowOff>0</xdr:rowOff>
              </xdr:from>
              <xdr:to>
                <xdr:col>47</xdr:col>
                <xdr:colOff>92</xdr:colOff>
                <xdr:row>1</xdr:row>
                <xdr:rowOff>0</xdr:rowOff>
              </xdr:to>
            </anchor>
          </commentPr>
        </mc:Choice>
        <mc:Fallback/>
      </mc:AlternateContent>
    </comment>
    <comment ref="AU1" authorId="0">
      <text>
        <r>
          <rPr>
            <sz val="10"/>
            <rFont val="Arial"/>
            <family val="2"/>
          </rPr>
          <t xml:space="preserve">José Romeu Gonçalves:
</t>
        </r>
        <r>
          <rPr>
            <sz val="9"/>
            <color rgb="FF000000"/>
            <rFont val="Tahoma"/>
            <family val="2"/>
            <charset val="1"/>
          </rPr>
          <t xml:space="preserve">
how the Y dimension is addressed: 0 defines a mandatory digit; 9 defines an optional digit; A defines a mandatory letter; Z defines an optional letter</t>
        </r>
      </text>
      <mc:AlternateContent>
        <mc:Choice Requires="v2">
          <commentPr autoFill="true" autoScale="false" colHidden="false" locked="false" rowHidden="false" textHAlign="justify" textVAlign="top">
            <anchor moveWithCells="false" sizeWithCells="false">
              <xdr:from>
                <xdr:col>47</xdr:col>
                <xdr:colOff>92</xdr:colOff>
                <xdr:row>0</xdr:row>
                <xdr:rowOff>0</xdr:rowOff>
              </xdr:from>
              <xdr:to>
                <xdr:col>50</xdr:col>
                <xdr:colOff>24</xdr:colOff>
                <xdr:row>1</xdr:row>
                <xdr:rowOff>0</xdr:rowOff>
              </xdr:to>
            </anchor>
          </commentPr>
        </mc:Choice>
        <mc:Fallback/>
      </mc:AlternateContent>
    </comment>
    <comment ref="AX1" authorId="0">
      <text>
        <r>
          <rPr>
            <sz val="10"/>
            <rFont val="Arial"/>
            <family val="2"/>
          </rPr>
          <t xml:space="preserve">José Romeu Gonçalves:
</t>
        </r>
        <r>
          <rPr>
            <sz val="9"/>
            <color rgb="FF000000"/>
            <rFont val="Tahoma"/>
            <family val="2"/>
            <charset val="1"/>
          </rPr>
          <t xml:space="preserve">
how the Z dimension is addressed: 0 defines a mandatory digit; 9 defines an optional digit; A defines a mandatory letter; Z defines an optional letter</t>
        </r>
      </text>
      <mc:AlternateContent>
        <mc:Choice Requires="v2">
          <commentPr autoFill="true" autoScale="false" colHidden="false" locked="false" rowHidden="false" textHAlign="justify" textVAlign="top">
            <anchor moveWithCells="false" sizeWithCells="false">
              <xdr:from>
                <xdr:col>50</xdr:col>
                <xdr:colOff>92</xdr:colOff>
                <xdr:row>0</xdr:row>
                <xdr:rowOff>0</xdr:rowOff>
              </xdr:from>
              <xdr:to>
                <xdr:col>52</xdr:col>
                <xdr:colOff>132</xdr:colOff>
                <xdr:row>1</xdr:row>
                <xdr:rowOff>0</xdr:rowOff>
              </xdr:to>
            </anchor>
          </commentPr>
        </mc:Choice>
        <mc:Fallback/>
      </mc:AlternateContent>
    </comment>
    <comment ref="BA1" authorId="0">
      <text>
        <r>
          <rPr>
            <sz val="10"/>
            <rFont val="Arial"/>
            <family val="2"/>
          </rPr>
          <t xml:space="preserve">José Romeu Gonçalves:
</t>
        </r>
        <r>
          <rPr>
            <sz val="9"/>
            <color rgb="FF000000"/>
            <rFont val="Tahoma"/>
            <family val="2"/>
            <charset val="1"/>
          </rPr>
          <t xml:space="preserve">
how the 0 dimension is addressed: 0 defines a mandatory digit; 9 defines an optional digit; A defines a mandatory letter; Z defines an optional letter</t>
        </r>
      </text>
      <mc:AlternateContent>
        <mc:Choice Requires="v2">
          <commentPr autoFill="true" autoScale="false" colHidden="false" locked="false" rowHidden="false" textHAlign="justify" textVAlign="top">
            <anchor moveWithCells="false" sizeWithCells="false">
              <xdr:from>
                <xdr:col>53</xdr:col>
                <xdr:colOff>92</xdr:colOff>
                <xdr:row>0</xdr:row>
                <xdr:rowOff>0</xdr:rowOff>
              </xdr:from>
              <xdr:to>
                <xdr:col>56</xdr:col>
                <xdr:colOff>100</xdr:colOff>
                <xdr:row>1</xdr:row>
                <xdr:rowOff>0</xdr:rowOff>
              </xdr:to>
            </anchor>
          </commentPr>
        </mc:Choice>
        <mc:Fallback/>
      </mc:AlternateContent>
    </comment>
    <comment ref="BG1" authorId="0">
      <text>
        <r>
          <rPr>
            <sz val="10"/>
            <rFont val="Arial"/>
            <family val="2"/>
          </rPr>
          <t xml:space="preserve">José Romeu Gonçalves:
</t>
        </r>
        <r>
          <rPr>
            <sz val="9"/>
            <color rgb="FF000000"/>
            <rFont val="Tahoma"/>
            <family val="2"/>
            <charset val="1"/>
          </rPr>
          <t xml:space="preserve">
A qualifier for the Instrument for improved matching
From LookupTable InstrumentType</t>
        </r>
      </text>
      <mc:AlternateContent>
        <mc:Choice Requires="v2">
          <commentPr autoFill="true" autoScale="false" colHidden="false" locked="false" rowHidden="false" textHAlign="justify" textVAlign="top">
            <anchor moveWithCells="false" sizeWithCells="false">
              <xdr:from>
                <xdr:col>59</xdr:col>
                <xdr:colOff>92</xdr:colOff>
                <xdr:row>0</xdr:row>
                <xdr:rowOff>0</xdr:rowOff>
              </xdr:from>
              <xdr:to>
                <xdr:col>62</xdr:col>
                <xdr:colOff>76</xdr:colOff>
                <xdr:row>1</xdr:row>
                <xdr:rowOff>4</xdr:rowOff>
              </xdr:to>
            </anchor>
          </commentPr>
        </mc:Choice>
        <mc:Fallback/>
      </mc:AlternateContent>
    </comment>
    <comment ref="BH1" authorId="0">
      <text>
        <r>
          <rPr>
            <sz val="10"/>
            <rFont val="Arial"/>
            <family val="2"/>
          </rPr>
          <t xml:space="preserve">José Romeu Gonçalves:
</t>
        </r>
        <r>
          <rPr>
            <sz val="9"/>
            <color rgb="FF000000"/>
            <rFont val="Tahoma"/>
            <family val="2"/>
            <charset val="1"/>
          </rPr>
          <t xml:space="preserve">
Only for processing type = Instrument</t>
        </r>
      </text>
      <mc:AlternateContent>
        <mc:Choice Requires="v2">
          <commentPr autoFill="true" autoScale="false" colHidden="false" locked="false" rowHidden="false" textHAlign="justify" textVAlign="top">
            <anchor moveWithCells="false" sizeWithCells="false">
              <xdr:from>
                <xdr:col>60</xdr:col>
                <xdr:colOff>92</xdr:colOff>
                <xdr:row>0</xdr:row>
                <xdr:rowOff>0</xdr:rowOff>
              </xdr:from>
              <xdr:to>
                <xdr:col>65</xdr:col>
                <xdr:colOff>8</xdr:colOff>
                <xdr:row>1</xdr:row>
                <xdr:rowOff>0</xdr:rowOff>
              </xdr:to>
            </anchor>
          </commentPr>
        </mc:Choice>
        <mc:Fallback/>
      </mc:AlternateContent>
    </comment>
    <comment ref="BI1" authorId="0">
      <text>
        <r>
          <rPr>
            <sz val="10"/>
            <rFont val="Arial"/>
            <family val="2"/>
          </rPr>
          <t xml:space="preserve">José Romeu Gonçalves:
</t>
        </r>
        <r>
          <rPr>
            <sz val="9"/>
            <color rgb="FF000000"/>
            <rFont val="Tahoma"/>
            <family val="2"/>
            <charset val="1"/>
          </rPr>
          <t xml:space="preserve">
Only for processing type = Instrument</t>
        </r>
      </text>
      <mc:AlternateContent>
        <mc:Choice Requires="v2">
          <commentPr autoFill="true" autoScale="false" colHidden="false" locked="false" rowHidden="false" textHAlign="justify" textVAlign="top">
            <anchor moveWithCells="false" sizeWithCells="false">
              <xdr:from>
                <xdr:col>61</xdr:col>
                <xdr:colOff>92</xdr:colOff>
                <xdr:row>0</xdr:row>
                <xdr:rowOff>0</xdr:rowOff>
              </xdr:from>
              <xdr:to>
                <xdr:col>66</xdr:col>
                <xdr:colOff>28</xdr:colOff>
                <xdr:row>1</xdr:row>
                <xdr:rowOff>0</xdr:rowOff>
              </xdr:to>
            </anchor>
          </commentPr>
        </mc:Choice>
        <mc:Fallback/>
      </mc:AlternateContent>
    </comment>
    <comment ref="BK1" authorId="0">
      <text>
        <r>
          <rPr>
            <sz val="10"/>
            <rFont val="Arial"/>
            <family val="2"/>
          </rPr>
          <t xml:space="preserve">José Romeu Gonçalves:
</t>
        </r>
        <r>
          <rPr>
            <sz val="9"/>
            <color rgb="FF000000"/>
            <rFont val="Tahoma"/>
            <family val="2"/>
            <charset val="1"/>
          </rPr>
          <t xml:space="preserve">
To allow users to request a MAO if the Resource is changed to an Unscheduled Down state</t>
        </r>
      </text>
      <mc:AlternateContent>
        <mc:Choice Requires="v2">
          <commentPr autoFill="true" autoScale="false" colHidden="false" locked="false" rowHidden="false" textHAlign="justify" textVAlign="top">
            <anchor moveWithCells="false" sizeWithCells="false">
              <xdr:from>
                <xdr:col>63</xdr:col>
                <xdr:colOff>23</xdr:colOff>
                <xdr:row>0</xdr:row>
                <xdr:rowOff>0</xdr:rowOff>
              </xdr:from>
              <xdr:to>
                <xdr:col>64</xdr:col>
                <xdr:colOff>24</xdr:colOff>
                <xdr:row>6</xdr:row>
                <xdr:rowOff>19</xdr:rowOff>
              </xdr:to>
            </anchor>
          </commentPr>
        </mc:Choice>
        <mc:Fallback/>
      </mc:AlternateContent>
    </comment>
    <comment ref="BL1" authorId="0">
      <text>
        <r>
          <rPr>
            <sz val="10"/>
            <rFont val="Arial"/>
            <family val="2"/>
          </rPr>
          <t xml:space="preserve">José Romeu Gonçalves:
</t>
        </r>
        <r>
          <rPr>
            <sz val="9"/>
            <color rgb="FF000000"/>
            <rFont val="Tahoma"/>
            <family val="2"/>
            <charset val="1"/>
          </rPr>
          <t xml:space="preserve">
The Resource Group consists of interchangeable Resources which are part of the same Resource cluster</t>
        </r>
      </text>
      <mc:AlternateContent>
        <mc:Choice Requires="v2">
          <commentPr autoFill="true" autoScale="false" colHidden="false" locked="false" rowHidden="false" textHAlign="justify" textVAlign="top">
            <anchor moveWithCells="false" sizeWithCells="false">
              <xdr:from>
                <xdr:col>65</xdr:col>
                <xdr:colOff>0</xdr:colOff>
                <xdr:row>0</xdr:row>
                <xdr:rowOff>0</xdr:rowOff>
              </xdr:from>
              <xdr:to>
                <xdr:col>69</xdr:col>
                <xdr:colOff>120</xdr:colOff>
                <xdr:row>1</xdr:row>
                <xdr:rowOff>0</xdr:rowOff>
              </xdr:to>
            </anchor>
          </commentPr>
        </mc:Choice>
        <mc:Fallback/>
      </mc:AlternateContent>
    </comment>
    <comment ref="BO1" authorId="2">
      <text>
        <r>
          <rPr>
            <sz val="10"/>
            <rFont val="Arial"/>
            <family val="2"/>
          </rPr>
          <t xml:space="preserve">Possible Values:
</t>
        </r>
        <r>
          <rPr>
            <sz val="9"/>
            <color rgb="FF000000"/>
            <rFont val="Tahoma"/>
            <family val="2"/>
            <charset val="1"/>
          </rPr>
          <t xml:space="preserve">
None - the equipment is not integrated.
Offline - the equipment is integrated, but it is not online.
Online - the equipment is integrated and it is online.</t>
        </r>
      </text>
      <mc:AlternateContent>
        <mc:Choice Requires="v2">
          <commentPr autoFill="true" autoScale="false" colHidden="false" locked="false" rowHidden="false" textHAlign="justify" textVAlign="top">
            <anchor moveWithCells="false" sizeWithCells="false">
              <xdr:from>
                <xdr:col>67</xdr:col>
                <xdr:colOff>92</xdr:colOff>
                <xdr:row>0</xdr:row>
                <xdr:rowOff>0</xdr:rowOff>
              </xdr:from>
              <xdr:to>
                <xdr:col>71</xdr:col>
                <xdr:colOff>116</xdr:colOff>
                <xdr:row>1</xdr:row>
                <xdr:rowOff>4</xdr:rowOff>
              </xdr:to>
            </anchor>
          </commentPr>
        </mc:Choice>
        <mc:Fallback/>
      </mc:AlternateContent>
    </comment>
    <comment ref="BQ1" authorId="0">
      <text>
        <r>
          <rPr>
            <sz val="10"/>
            <rFont val="Arial"/>
            <family val="2"/>
          </rPr>
          <t xml:space="preserve">José Romeu Gonçalves:
</t>
        </r>
        <r>
          <rPr>
            <sz val="9"/>
            <color rgb="FF000000"/>
            <rFont val="Tahoma"/>
            <family val="2"/>
            <charset val="1"/>
          </rPr>
          <t xml:space="preserve">
Yes = The equipment has the ability to automate job management.</t>
        </r>
      </text>
      <mc:AlternateContent>
        <mc:Choice Requires="v2">
          <commentPr autoFill="true" autoScale="false" colHidden="false" locked="false" rowHidden="false" textHAlign="justify" textVAlign="top">
            <anchor moveWithCells="false" sizeWithCells="false">
              <xdr:from>
                <xdr:col>69</xdr:col>
                <xdr:colOff>92</xdr:colOff>
                <xdr:row>0</xdr:row>
                <xdr:rowOff>0</xdr:rowOff>
              </xdr:from>
              <xdr:to>
                <xdr:col>71</xdr:col>
                <xdr:colOff>168</xdr:colOff>
                <xdr:row>1</xdr:row>
                <xdr:rowOff>0</xdr:rowOff>
              </xdr:to>
            </anchor>
          </commentPr>
        </mc:Choice>
        <mc:Fallback/>
      </mc:AlternateContent>
    </comment>
    <comment ref="BR1" authorId="0">
      <text>
        <r>
          <rPr>
            <sz val="10"/>
            <rFont val="Arial"/>
            <family val="2"/>
          </rPr>
          <t xml:space="preserve">José Romeu Gonçalves:
</t>
        </r>
        <r>
          <rPr>
            <sz val="9"/>
            <color rgb="FF000000"/>
            <rFont val="Tahoma"/>
            <family val="2"/>
            <charset val="1"/>
          </rPr>
          <t xml:space="preserve">
Yes = The equipment has the ability to download recipes (from equipment).</t>
        </r>
      </text>
      <mc:AlternateContent>
        <mc:Choice Requires="v2">
          <commentPr autoFill="true" autoScale="false" colHidden="false" locked="false" rowHidden="false" textHAlign="justify" textVAlign="top">
            <anchor moveWithCells="false" sizeWithCells="false">
              <xdr:from>
                <xdr:col>70</xdr:col>
                <xdr:colOff>92</xdr:colOff>
                <xdr:row>0</xdr:row>
                <xdr:rowOff>0</xdr:rowOff>
              </xdr:from>
              <xdr:to>
                <xdr:col>71</xdr:col>
                <xdr:colOff>271</xdr:colOff>
                <xdr:row>1</xdr:row>
                <xdr:rowOff>0</xdr:rowOff>
              </xdr:to>
            </anchor>
          </commentPr>
        </mc:Choice>
        <mc:Fallback/>
      </mc:AlternateContent>
    </comment>
    <comment ref="BS1" authorId="0">
      <text>
        <r>
          <rPr>
            <sz val="10"/>
            <rFont val="Arial"/>
            <family val="2"/>
          </rPr>
          <t xml:space="preserve">José Romeu Gonçalves:
</t>
        </r>
        <r>
          <rPr>
            <sz val="9"/>
            <color rgb="FF000000"/>
            <rFont val="Tahoma"/>
            <family val="2"/>
            <charset val="1"/>
          </rPr>
          <t xml:space="preserve">
Yes = The equipment has the ability to upload recipes (to equipment).</t>
        </r>
      </text>
      <mc:AlternateContent>
        <mc:Choice Requires="v2">
          <commentPr autoFill="true" autoScale="false" colHidden="false" locked="false" rowHidden="false" textHAlign="justify" textVAlign="top">
            <anchor moveWithCells="false" sizeWithCells="false">
              <xdr:from>
                <xdr:col>71</xdr:col>
                <xdr:colOff>92</xdr:colOff>
                <xdr:row>0</xdr:row>
                <xdr:rowOff>0</xdr:rowOff>
              </xdr:from>
              <xdr:to>
                <xdr:col>76</xdr:col>
                <xdr:colOff>144</xdr:colOff>
                <xdr:row>1</xdr:row>
                <xdr:rowOff>0</xdr:rowOff>
              </xdr:to>
            </anchor>
          </commentPr>
        </mc:Choice>
        <mc:Fallback/>
      </mc:AlternateContent>
    </comment>
    <comment ref="BT1" authorId="0">
      <text>
        <r>
          <rPr>
            <sz val="10"/>
            <rFont val="Arial"/>
            <family val="2"/>
          </rPr>
          <t xml:space="preserve">José Romeu Gonçalves:
</t>
        </r>
        <r>
          <rPr>
            <sz val="9"/>
            <color rgb="FF000000"/>
            <rFont val="Tahoma"/>
            <family val="2"/>
            <charset val="1"/>
          </rPr>
          <t xml:space="preserve">
Yes = The equipment has the ability to notify the MES about recipe selection changes.</t>
        </r>
      </text>
      <mc:AlternateContent>
        <mc:Choice Requires="v2">
          <commentPr autoFill="true" autoScale="false" colHidden="false" locked="false" rowHidden="false" textHAlign="justify" textVAlign="top">
            <anchor moveWithCells="false" sizeWithCells="false">
              <xdr:from>
                <xdr:col>73</xdr:col>
                <xdr:colOff>32</xdr:colOff>
                <xdr:row>0</xdr:row>
                <xdr:rowOff>0</xdr:rowOff>
              </xdr:from>
              <xdr:to>
                <xdr:col>79</xdr:col>
                <xdr:colOff>44</xdr:colOff>
                <xdr:row>1</xdr:row>
                <xdr:rowOff>0</xdr:rowOff>
              </xdr:to>
            </anchor>
          </commentPr>
        </mc:Choice>
        <mc:Fallback/>
      </mc:AlternateContent>
    </comment>
    <comment ref="BU1" authorId="0">
      <text>
        <r>
          <rPr>
            <sz val="10"/>
            <rFont val="Arial"/>
            <family val="2"/>
          </rPr>
          <t xml:space="preserve">José Romeu Gonçalves:
</t>
        </r>
        <r>
          <rPr>
            <sz val="9"/>
            <color rgb="FF000000"/>
            <rFont val="Tahoma"/>
            <family val="2"/>
            <charset val="1"/>
          </rPr>
          <t xml:space="preserve">
Resource location in geographic coordinates (Latitude, Longitude and Altitude).
Currently MDL does not setting this property on creation but it is updating it correctly. In order to set it, place the XYZ coordinates as the following example:
22;11;33
</t>
        </r>
        <r>
          <rPr>
            <b val="true"/>
            <sz val="9"/>
            <color rgb="FF000000"/>
            <rFont val="Tahoma"/>
            <family val="2"/>
            <charset val="1"/>
          </rPr>
          <t xml:space="preserve">
WI55112</t>
        </r>
      </text>
      <mc:AlternateContent>
        <mc:Choice Requires="v2">
          <commentPr autoFill="true" autoScale="false" colHidden="false" locked="false" rowHidden="false" textHAlign="justify" textVAlign="top">
            <anchor moveWithCells="false" sizeWithCells="false">
              <xdr:from>
                <xdr:col>74</xdr:col>
                <xdr:colOff>24</xdr:colOff>
                <xdr:row>0</xdr:row>
                <xdr:rowOff>0</xdr:rowOff>
              </xdr:from>
              <xdr:to>
                <xdr:col>75</xdr:col>
                <xdr:colOff>0</xdr:colOff>
                <xdr:row>4</xdr:row>
                <xdr:rowOff>20</xdr:rowOff>
              </xdr:to>
            </anchor>
          </commentPr>
        </mc:Choice>
        <mc:Fallback/>
      </mc:AlternateContent>
    </comment>
    <comment ref="BV1" authorId="0">
      <text>
        <r>
          <rPr>
            <sz val="10"/>
            <rFont val="Arial"/>
            <family val="2"/>
          </rPr>
          <t xml:space="preserve">José Romeu Gonçalves:
</t>
        </r>
        <r>
          <rPr>
            <sz val="9"/>
            <color rgb="FF000000"/>
            <rFont val="Tahoma"/>
            <family val="2"/>
            <charset val="1"/>
          </rPr>
          <t xml:space="preserve">
Fixed costs of using this Resource.</t>
        </r>
      </text>
      <mc:AlternateContent>
        <mc:Choice Requires="v2">
          <commentPr autoFill="true" autoScale="false" colHidden="false" locked="false" rowHidden="false" textHAlign="justify" textVAlign="top">
            <anchor moveWithCells="false" sizeWithCells="false">
              <xdr:from>
                <xdr:col>75</xdr:col>
                <xdr:colOff>8</xdr:colOff>
                <xdr:row>0</xdr:row>
                <xdr:rowOff>0</xdr:rowOff>
              </xdr:from>
              <xdr:to>
                <xdr:col>76</xdr:col>
                <xdr:colOff>40</xdr:colOff>
                <xdr:row>1</xdr:row>
                <xdr:rowOff>0</xdr:rowOff>
              </xdr:to>
            </anchor>
          </commentPr>
        </mc:Choice>
        <mc:Fallback/>
      </mc:AlternateContent>
    </comment>
    <comment ref="BW1" authorId="0">
      <text>
        <r>
          <rPr>
            <sz val="10"/>
            <rFont val="Arial"/>
            <family val="2"/>
          </rPr>
          <t xml:space="preserve">José Romeu Gonçalves:
</t>
        </r>
        <r>
          <rPr>
            <sz val="9"/>
            <color rgb="FF000000"/>
            <rFont val="Tahoma"/>
            <family val="2"/>
            <charset val="1"/>
          </rPr>
          <t xml:space="preserve">
Costs per processed unit using this Resource</t>
        </r>
      </text>
      <mc:AlternateContent>
        <mc:Choice Requires="v2">
          <commentPr autoFill="true" autoScale="false" colHidden="false" locked="false" rowHidden="false" textHAlign="justify" textVAlign="top">
            <anchor moveWithCells="false" sizeWithCells="false">
              <xdr:from>
                <xdr:col>76</xdr:col>
                <xdr:colOff>4</xdr:colOff>
                <xdr:row>0</xdr:row>
                <xdr:rowOff>0</xdr:rowOff>
              </xdr:from>
              <xdr:to>
                <xdr:col>79</xdr:col>
                <xdr:colOff>176</xdr:colOff>
                <xdr:row>1</xdr:row>
                <xdr:rowOff>0</xdr:rowOff>
              </xdr:to>
            </anchor>
          </commentPr>
        </mc:Choice>
        <mc:Fallback/>
      </mc:AlternateContent>
    </comment>
    <comment ref="BX1" authorId="0">
      <text>
        <r>
          <rPr>
            <sz val="10"/>
            <rFont val="Arial"/>
            <family val="2"/>
          </rPr>
          <t xml:space="preserve">José Romeu Gonçalves:
</t>
        </r>
        <r>
          <rPr>
            <sz val="9"/>
            <color rgb="FF000000"/>
            <rFont val="Tahoma"/>
            <family val="2"/>
            <charset val="1"/>
          </rPr>
          <t xml:space="preserve">
Costs per hour of using this Resource</t>
        </r>
      </text>
      <mc:AlternateContent>
        <mc:Choice Requires="v2">
          <commentPr autoFill="true" autoScale="false" colHidden="false" locked="false" rowHidden="false" textHAlign="justify" textVAlign="top">
            <anchor moveWithCells="false" sizeWithCells="false">
              <xdr:from>
                <xdr:col>76</xdr:col>
                <xdr:colOff>92</xdr:colOff>
                <xdr:row>0</xdr:row>
                <xdr:rowOff>0</xdr:rowOff>
              </xdr:from>
              <xdr:to>
                <xdr:col>80</xdr:col>
                <xdr:colOff>48</xdr:colOff>
                <xdr:row>1</xdr:row>
                <xdr:rowOff>0</xdr:rowOff>
              </xdr:to>
            </anchor>
          </commentPr>
        </mc:Choice>
        <mc:Fallback/>
      </mc:AlternateContent>
    </comment>
    <comment ref="BY1" authorId="0">
      <text>
        <r>
          <rPr>
            <sz val="10"/>
            <rFont val="Arial"/>
            <family val="2"/>
          </rPr>
          <t xml:space="preserve">José Romeu Gonçalves:
</t>
        </r>
        <r>
          <rPr>
            <sz val="9"/>
            <color rgb="FF000000"/>
            <rFont val="Tahoma"/>
            <family val="2"/>
            <charset val="1"/>
          </rPr>
          <t xml:space="preserve">
If Dispatching is selected, the resource, when marked as Include in Planning, will be considered for Planning. If Scheduling is selected, the resource will be both considered for Planning and Scheduling.</t>
        </r>
      </text>
      <mc:AlternateContent>
        <mc:Choice Requires="v2">
          <commentPr autoFill="true" autoScale="false" colHidden="false" locked="false" rowHidden="false" textHAlign="justify" textVAlign="top">
            <anchor moveWithCells="false" sizeWithCells="false">
              <xdr:from>
                <xdr:col>77</xdr:col>
                <xdr:colOff>92</xdr:colOff>
                <xdr:row>0</xdr:row>
                <xdr:rowOff>0</xdr:rowOff>
              </xdr:from>
              <xdr:to>
                <xdr:col>80</xdr:col>
                <xdr:colOff>207</xdr:colOff>
                <xdr:row>1</xdr:row>
                <xdr:rowOff>8</xdr:rowOff>
              </xdr:to>
            </anchor>
          </commentPr>
        </mc:Choice>
        <mc:Fallback/>
      </mc:AlternateContent>
    </comment>
    <comment ref="CA1" authorId="0">
      <text>
        <r>
          <rPr>
            <sz val="10"/>
            <rFont val="Arial"/>
            <family val="2"/>
          </rPr>
          <t xml:space="preserve">José Romeu Gonçalves:
</t>
        </r>
        <r>
          <rPr>
            <sz val="9"/>
            <color rgb="FF000000"/>
            <rFont val="Tahoma"/>
            <family val="2"/>
            <charset val="1"/>
          </rPr>
          <t xml:space="preserve">
- Batch:  A resource of a certain capacity, capable of processing multiple Materials together, where the start and end job is the same for all.
- Machine:  a resource that processes only one Material at a time.
- Tunnel: a resource like a conveyor belt that processes multiple Materials continuously.</t>
        </r>
      </text>
      <mc:AlternateContent>
        <mc:Choice Requires="v2">
          <commentPr autoFill="true" autoScale="false" colHidden="false" locked="false" rowHidden="false" textHAlign="justify" textVAlign="top">
            <anchor moveWithCells="false" sizeWithCells="false">
              <xdr:from>
                <xdr:col>79</xdr:col>
                <xdr:colOff>92</xdr:colOff>
                <xdr:row>0</xdr:row>
                <xdr:rowOff>0</xdr:rowOff>
              </xdr:from>
              <xdr:to>
                <xdr:col>83</xdr:col>
                <xdr:colOff>92</xdr:colOff>
                <xdr:row>2</xdr:row>
                <xdr:rowOff>16</xdr:rowOff>
              </xdr:to>
            </anchor>
          </commentPr>
        </mc:Choice>
        <mc:Fallback/>
      </mc:AlternateContent>
    </comment>
    <comment ref="CB1" authorId="0">
      <text>
        <r>
          <rPr>
            <sz val="10"/>
            <rFont val="Arial"/>
            <family val="2"/>
          </rPr>
          <t xml:space="preserve">José Romeu Gonçalves:
</t>
        </r>
        <r>
          <rPr>
            <sz val="9"/>
            <color rgb="FF000000"/>
            <rFont val="Tahoma"/>
            <family val="2"/>
            <charset val="1"/>
          </rPr>
          <t xml:space="preserve">
Only if it has started during a working time period</t>
        </r>
      </text>
      <mc:AlternateContent>
        <mc:Choice Requires="v2">
          <commentPr autoFill="true" autoScale="false" colHidden="false" locked="false" rowHidden="false" textHAlign="justify" textVAlign="top">
            <anchor moveWithCells="false" sizeWithCells="false">
              <xdr:from>
                <xdr:col>80</xdr:col>
                <xdr:colOff>92</xdr:colOff>
                <xdr:row>0</xdr:row>
                <xdr:rowOff>0</xdr:rowOff>
              </xdr:from>
              <xdr:to>
                <xdr:col>81</xdr:col>
                <xdr:colOff>-51</xdr:colOff>
                <xdr:row>1</xdr:row>
                <xdr:rowOff>0</xdr:rowOff>
              </xdr:to>
            </anchor>
          </commentPr>
        </mc:Choice>
        <mc:Fallback/>
      </mc:AlternateContent>
    </comment>
    <comment ref="CD1" authorId="0">
      <text>
        <r>
          <rPr>
            <sz val="10"/>
            <rFont val="Arial"/>
            <family val="2"/>
          </rPr>
          <t xml:space="preserve">José Romeu Gonçalves:
</t>
        </r>
        <r>
          <rPr>
            <sz val="9"/>
            <color rgb="FF000000"/>
            <rFont val="Tahoma"/>
            <family val="2"/>
            <charset val="1"/>
          </rPr>
          <t xml:space="preserve">
A value between 0 and 1
0 means completely saturated 
1 means non-saturated</t>
        </r>
      </text>
      <mc:AlternateContent>
        <mc:Choice Requires="v2">
          <commentPr autoFill="true" autoScale="false" colHidden="false" locked="false" rowHidden="false" textHAlign="justify" textVAlign="top">
            <anchor moveWithCells="false" sizeWithCells="false">
              <xdr:from>
                <xdr:col>83</xdr:col>
                <xdr:colOff>4</xdr:colOff>
                <xdr:row>0</xdr:row>
                <xdr:rowOff>0</xdr:rowOff>
              </xdr:from>
              <xdr:to>
                <xdr:col>84</xdr:col>
                <xdr:colOff>-41</xdr:colOff>
                <xdr:row>1</xdr:row>
                <xdr:rowOff>4</xdr:rowOff>
              </xdr:to>
            </anchor>
          </commentPr>
        </mc:Choice>
        <mc:Fallback/>
      </mc:AlternateContent>
    </comment>
    <comment ref="CH1" authorId="0">
      <text>
        <r>
          <rPr>
            <sz val="10"/>
            <rFont val="Arial"/>
            <family val="2"/>
          </rPr>
          <t xml:space="preserve">José Romeu Gonçalves:
</t>
        </r>
        <r>
          <rPr>
            <sz val="9"/>
            <color rgb="FF000000"/>
            <rFont val="Tahoma"/>
            <family val="2"/>
            <charset val="1"/>
          </rPr>
          <t xml:space="preserve">
Defines the number of jobs ahead that the user can start at the particular Resource, with the normal Track-In. For example, if it is defined as one, it indicates that can be tracked-in one of the two first Material jobs for the Resource.</t>
        </r>
      </text>
      <mc:AlternateContent>
        <mc:Choice Requires="v2">
          <commentPr autoFill="true" autoScale="false" colHidden="false" locked="false" rowHidden="false" textHAlign="justify" textVAlign="top">
            <anchor moveWithCells="false" sizeWithCells="false">
              <xdr:from>
                <xdr:col>86</xdr:col>
                <xdr:colOff>92</xdr:colOff>
                <xdr:row>0</xdr:row>
                <xdr:rowOff>0</xdr:rowOff>
              </xdr:from>
              <xdr:to>
                <xdr:col>89</xdr:col>
                <xdr:colOff>40</xdr:colOff>
                <xdr:row>1</xdr:row>
                <xdr:rowOff>12</xdr:rowOff>
              </xdr:to>
            </anchor>
          </commentPr>
        </mc:Choice>
        <mc:Fallback/>
      </mc:AlternateContent>
    </comment>
    <comment ref="CK1" authorId="0">
      <text>
        <r>
          <rPr>
            <sz val="10"/>
            <rFont val="Arial"/>
            <family val="2"/>
          </rPr>
          <t xml:space="preserve">José Romeu Gonçalves:
</t>
        </r>
        <r>
          <rPr>
            <sz val="9"/>
            <color rgb="FF000000"/>
            <rFont val="Tahoma"/>
            <family val="2"/>
            <charset val="1"/>
          </rPr>
          <t xml:space="preserve">
A temporary exclusion
</t>
        </r>
      </text>
      <mc:AlternateContent>
        <mc:Choice Requires="v2">
          <commentPr autoFill="true" autoScale="false" colHidden="false" locked="false" rowHidden="false" textHAlign="justify" textVAlign="top">
            <anchor moveWithCells="false" sizeWithCells="false">
              <xdr:from>
                <xdr:col>89</xdr:col>
                <xdr:colOff>92</xdr:colOff>
                <xdr:row>0</xdr:row>
                <xdr:rowOff>0</xdr:rowOff>
              </xdr:from>
              <xdr:to>
                <xdr:col>91</xdr:col>
                <xdr:colOff>12</xdr:colOff>
                <xdr:row>1</xdr:row>
                <xdr:rowOff>0</xdr:rowOff>
              </xdr:to>
            </anchor>
          </commentPr>
        </mc:Choice>
        <mc:Fallback/>
      </mc:AlternateContent>
    </comment>
    <comment ref="CL1" authorId="0">
      <text>
        <r>
          <rPr>
            <sz val="10"/>
            <rFont val="Arial"/>
            <family val="2"/>
          </rPr>
          <t xml:space="preserve">José Romeu Gonçalves:
</t>
        </r>
        <r>
          <rPr>
            <sz val="9"/>
            <color rgb="FF000000"/>
            <rFont val="Tahoma"/>
            <family val="2"/>
            <charset val="1"/>
          </rPr>
          <t xml:space="preserve">
If defined, for scheduling purposes, the resource will only be considered after that date</t>
        </r>
      </text>
      <mc:AlternateContent>
        <mc:Choice Requires="v2">
          <commentPr autoFill="true" autoScale="false" colHidden="false" locked="false" rowHidden="false" textHAlign="justify" textVAlign="top">
            <anchor moveWithCells="false" sizeWithCells="false">
              <xdr:from>
                <xdr:col>91</xdr:col>
                <xdr:colOff>24</xdr:colOff>
                <xdr:row>0</xdr:row>
                <xdr:rowOff>0</xdr:rowOff>
              </xdr:from>
              <xdr:to>
                <xdr:col>92</xdr:col>
                <xdr:colOff>8</xdr:colOff>
                <xdr:row>1</xdr:row>
                <xdr:rowOff>0</xdr:rowOff>
              </xdr:to>
            </anchor>
          </commentPr>
        </mc:Choice>
        <mc:Fallback/>
      </mc:AlternateContent>
    </comment>
    <comment ref="CM1" authorId="0">
      <text>
        <r>
          <rPr>
            <sz val="10"/>
            <rFont val="Arial"/>
            <family val="2"/>
          </rPr>
          <t xml:space="preserve">José Romeu Gonçalves:
</t>
        </r>
        <r>
          <rPr>
            <sz val="9"/>
            <color rgb="FF000000"/>
            <rFont val="Tahoma"/>
            <family val="2"/>
            <charset val="1"/>
          </rPr>
          <t xml:space="preserve">
The efficiency is used to adjust the processing time - for example, a Resource with an efficiency of 0.5 (50%) takes twice the processing time to perform a certain operation.</t>
        </r>
      </text>
      <mc:AlternateContent>
        <mc:Choice Requires="v2">
          <commentPr autoFill="true" autoScale="false" colHidden="false" locked="false" rowHidden="false" textHAlign="justify" textVAlign="top">
            <anchor moveWithCells="false" sizeWithCells="false">
              <xdr:from>
                <xdr:col>91</xdr:col>
                <xdr:colOff>92</xdr:colOff>
                <xdr:row>0</xdr:row>
                <xdr:rowOff>0</xdr:rowOff>
              </xdr:from>
              <xdr:to>
                <xdr:col>92</xdr:col>
                <xdr:colOff>196</xdr:colOff>
                <xdr:row>1</xdr:row>
                <xdr:rowOff>4</xdr:rowOff>
              </xdr:to>
            </anchor>
          </commentPr>
        </mc:Choice>
        <mc:Fallback/>
      </mc:AlternateContent>
    </comment>
    <comment ref="CQ1" authorId="0">
      <text>
        <r>
          <rPr>
            <sz val="10"/>
            <rFont val="Arial"/>
            <family val="2"/>
          </rPr>
          <t xml:space="preserve">José Romeu Gonçalves:
</t>
        </r>
        <r>
          <rPr>
            <sz val="9"/>
            <color rgb="FF000000"/>
            <rFont val="Tahoma"/>
            <family val="2"/>
            <charset val="1"/>
          </rPr>
          <t xml:space="preserve">What the Resource Schedule View should show: Materials or Production Order Steps</t>
        </r>
      </text>
      <mc:AlternateContent>
        <mc:Choice Requires="v2">
          <commentPr autoFill="true" autoScale="false" colHidden="false" locked="false" rowHidden="false" textHAlign="justify" textVAlign="top">
            <anchor moveWithCells="false" sizeWithCells="false">
              <xdr:from>
                <xdr:col>95</xdr:col>
                <xdr:colOff>92</xdr:colOff>
                <xdr:row>0</xdr:row>
                <xdr:rowOff>0</xdr:rowOff>
              </xdr:from>
              <xdr:to>
                <xdr:col>97</xdr:col>
                <xdr:colOff>44</xdr:colOff>
                <xdr:row>1</xdr:row>
                <xdr:rowOff>0</xdr:rowOff>
              </xdr:to>
            </anchor>
          </commentPr>
        </mc:Choice>
        <mc:Fallback/>
      </mc:AlternateContent>
    </comment>
    <comment ref="CZ1" authorId="3">
      <text>
        <r>
          <rPr>
            <sz val="10"/>
            <rFont val="Arial"/>
            <family val="2"/>
          </rPr>
          <t xml:space="preserve">Rui Guimarães:
</t>
        </r>
        <r>
          <rPr>
            <sz val="9"/>
            <color rgb="FF000000"/>
            <rFont val="Tahoma"/>
            <family val="2"/>
            <charset val="1"/>
          </rPr>
          <t xml:space="preserve">When Track-in is pressed in MES, send request to iot to write a tag of the materials/batch in process and recipe information.
This is core, send it only if Resource has attribute "AllowMESControl" is true.
To be used on resources that the operations will be TrackIn in MES side
US: 350672 - [Core] New Interface MES to Iot – Track-in materials</t>
        </r>
      </text>
      <mc:AlternateContent>
        <mc:Choice Requires="v2">
          <commentPr autoFill="true" autoScale="false" colHidden="false" locked="false" rowHidden="false" textHAlign="justify" textVAlign="top">
            <anchor moveWithCells="false" sizeWithCells="false">
              <xdr:from>
                <xdr:col>104</xdr:col>
                <xdr:colOff>92</xdr:colOff>
                <xdr:row>0</xdr:row>
                <xdr:rowOff>0</xdr:rowOff>
              </xdr:from>
              <xdr:to>
                <xdr:col>107</xdr:col>
                <xdr:colOff>80</xdr:colOff>
                <xdr:row>5</xdr:row>
                <xdr:rowOff>20</xdr:rowOff>
              </xdr:to>
            </anchor>
          </commentPr>
        </mc:Choice>
        <mc:Fallback/>
      </mc:AlternateContent>
    </comment>
  </commentList>
</comments>
</file>

<file path=xl/comments10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Resource</t>
        </r>
      </text>
      <mc:AlternateContent>
        <mc:Choice Requires="v2">
          <commentPr autoFill="true" autoScale="false" colHidden="false" locked="false" rowHidden="false" textHAlign="justify" textVAlign="top">
            <anchor moveWithCells="false" sizeWithCells="false">
              <xdr:from>
                <xdr:col>0</xdr:col>
                <xdr:colOff>108</xdr:colOff>
                <xdr:row>2</xdr:row>
                <xdr:rowOff>16</xdr:rowOff>
              </xdr:from>
              <xdr:to>
                <xdr:col>1</xdr:col>
                <xdr:colOff>104</xdr:colOff>
                <xdr:row>5</xdr:row>
                <xdr:rowOff>4</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Sub-Resource</t>
        </r>
      </text>
      <mc:AlternateContent>
        <mc:Choice Requires="v2">
          <commentPr autoFill="true" autoScale="false" colHidden="false" locked="false" rowHidden="false" textHAlign="justify" textVAlign="top">
            <anchor moveWithCells="false" sizeWithCells="false">
              <xdr:from>
                <xdr:col>1</xdr:col>
                <xdr:colOff>32</xdr:colOff>
                <xdr:row>2</xdr:row>
                <xdr:rowOff>0</xdr:rowOff>
              </xdr:from>
              <xdr:to>
                <xdr:col>3</xdr:col>
                <xdr:colOff>4</xdr:colOff>
                <xdr:row>4</xdr:row>
                <xdr:rowOff>16</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
For Resource ProcessingType = ConsumableFeed
A named position (alias) for the Consumable Feed Position in the Resource</t>
        </r>
      </text>
      <mc:AlternateContent>
        <mc:Choice Requires="v2">
          <commentPr autoFill="true" autoScale="false" colHidden="false" locked="false" rowHidden="false" textHAlign="justify" textVAlign="top">
            <anchor moveWithCells="false" sizeWithCells="false">
              <xdr:from>
                <xdr:col>0</xdr:col>
                <xdr:colOff>104</xdr:colOff>
                <xdr:row>7</xdr:row>
                <xdr:rowOff>16</xdr:rowOff>
              </xdr:from>
              <xdr:to>
                <xdr:col>3</xdr:col>
                <xdr:colOff>32</xdr:colOff>
                <xdr:row>11</xdr:row>
                <xdr:rowOff>12</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For Resource ProcessingType = ConsumableFeed
Position of the Consumable Feed in the Resource</t>
        </r>
      </text>
      <mc:AlternateContent>
        <mc:Choice Requires="v2">
          <commentPr autoFill="true" autoScale="false" colHidden="false" locked="false" rowHidden="false" textHAlign="justify" textVAlign="top">
            <anchor moveWithCells="false" sizeWithCells="false">
              <xdr:from>
                <xdr:col>3</xdr:col>
                <xdr:colOff>188</xdr:colOff>
                <xdr:row>3</xdr:row>
                <xdr:rowOff>8</xdr:rowOff>
              </xdr:from>
              <xdr:to>
                <xdr:col>6</xdr:col>
                <xdr:colOff>20</xdr:colOff>
                <xdr:row>6</xdr:row>
                <xdr:rowOff>16</xdr:rowOff>
              </xdr:to>
            </anchor>
          </commentPr>
        </mc:Choice>
        <mc:Fallback/>
      </mc:AlternateContent>
    </comment>
  </commentList>
</comments>
</file>

<file path=xl/comments10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Resource
</t>
        </r>
      </text>
      <mc:AlternateContent>
        <mc:Choice Requires="v2">
          <commentPr autoFill="true" autoScale="false" colHidden="false" locked="false" rowHidden="false" textHAlign="justify" textVAlign="top">
            <anchor moveWithCells="false" sizeWithCells="false">
              <xdr:from>
                <xdr:col>1</xdr:col>
                <xdr:colOff>12</xdr:colOff>
                <xdr:row>0</xdr:row>
                <xdr:rowOff>0</xdr:rowOff>
              </xdr:from>
              <xdr:to>
                <xdr:col>2</xdr:col>
                <xdr:colOff>-250</xdr:colOff>
                <xdr:row>1</xdr:row>
                <xdr:rowOff>4</xdr:rowOff>
              </xdr:to>
            </anchor>
          </commentPr>
        </mc:Choice>
        <mc:Fallback/>
      </mc:AlternateContent>
    </comment>
    <comment ref="B1" authorId="0">
      <text>
        <r>
          <rPr>
            <sz val="10"/>
            <rFont val="Arial"/>
            <family val="2"/>
          </rPr>
          <t xml:space="preserve">Service
</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4</xdr:col>
                <xdr:colOff>32</xdr:colOff>
                <xdr:row>1</xdr:row>
                <xdr:rowOff>0</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
Defines the priority of the Service at the Resource</t>
        </r>
      </text>
      <mc:AlternateContent>
        <mc:Choice Requires="v2">
          <commentPr autoFill="true" autoScale="false" colHidden="false" locked="false" rowHidden="false" textHAlign="justify" textVAlign="top">
            <anchor moveWithCells="false" sizeWithCells="false">
              <xdr:from>
                <xdr:col>3</xdr:col>
                <xdr:colOff>12</xdr:colOff>
                <xdr:row>0</xdr:row>
                <xdr:rowOff>0</xdr:rowOff>
              </xdr:from>
              <xdr:to>
                <xdr:col>5</xdr:col>
                <xdr:colOff>64</xdr:colOff>
                <xdr:row>3</xdr:row>
                <xdr:rowOff>12</xdr:rowOff>
              </xdr:to>
            </anchor>
          </commentPr>
        </mc:Choice>
        <mc:Fallback/>
      </mc:AlternateContent>
    </comment>
  </commentList>
</comments>
</file>

<file path=xl/comments10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Resource</t>
        </r>
      </text>
      <mc:AlternateContent>
        <mc:Choice Requires="v2">
          <commentPr autoFill="true" autoScale="false" colHidden="false" locked="false" rowHidden="false" textHAlign="justify" textVAlign="top">
            <anchor moveWithCells="false" sizeWithCells="false">
              <xdr:from>
                <xdr:col>1</xdr:col>
                <xdr:colOff>32</xdr:colOff>
                <xdr:row>0</xdr:row>
                <xdr:rowOff>0</xdr:rowOff>
              </xdr:from>
              <xdr:to>
                <xdr:col>3</xdr:col>
                <xdr:colOff>48</xdr:colOff>
                <xdr:row>2</xdr:row>
                <xdr:rowOff>16</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Certification</t>
        </r>
      </text>
      <mc:AlternateContent>
        <mc:Choice Requires="v2">
          <commentPr autoFill="true" autoScale="false" colHidden="false" locked="false" rowHidden="false" textHAlign="justify" textVAlign="top">
            <anchor moveWithCells="false" sizeWithCells="false">
              <xdr:from>
                <xdr:col>2</xdr:col>
                <xdr:colOff>4</xdr:colOff>
                <xdr:row>2</xdr:row>
                <xdr:rowOff>16</xdr:rowOff>
              </xdr:from>
              <xdr:to>
                <xdr:col>4</xdr:col>
                <xdr:colOff>40</xdr:colOff>
                <xdr:row>5</xdr:row>
                <xdr:rowOff>12</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
Number of required Employees that hold the Certification</t>
        </r>
      </text>
      <mc:AlternateContent>
        <mc:Choice Requires="v2">
          <commentPr autoFill="true" autoScale="false" colHidden="false" locked="false" rowHidden="false" textHAlign="justify" textVAlign="top">
            <anchor moveWithCells="false" sizeWithCells="false">
              <xdr:from>
                <xdr:col>3</xdr:col>
                <xdr:colOff>60</xdr:colOff>
                <xdr:row>2</xdr:row>
                <xdr:rowOff>0</xdr:rowOff>
              </xdr:from>
              <xdr:to>
                <xdr:col>5</xdr:col>
                <xdr:colOff>69</xdr:colOff>
                <xdr:row>5</xdr:row>
                <xdr:rowOff>12</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
Percentage of working time that is allocated to each Employee. 
Zero indicates zero allocation.
One indicates full allocation
</t>
        </r>
      </text>
      <mc:AlternateContent>
        <mc:Choice Requires="v2">
          <commentPr autoFill="true" autoScale="false" colHidden="false" locked="false" rowHidden="false" textHAlign="justify" textVAlign="top">
            <anchor moveWithCells="false" sizeWithCells="false">
              <xdr:from>
                <xdr:col>4</xdr:col>
                <xdr:colOff>80</xdr:colOff>
                <xdr:row>0</xdr:row>
                <xdr:rowOff>0</xdr:rowOff>
              </xdr:from>
              <xdr:to>
                <xdr:col>9</xdr:col>
                <xdr:colOff>60</xdr:colOff>
                <xdr:row>4</xdr:row>
                <xdr:rowOff>4</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For Schedulling Purpose (?)</t>
        </r>
      </text>
      <mc:AlternateContent>
        <mc:Choice Requires="v2">
          <commentPr autoFill="true" autoScale="false" colHidden="false" locked="false" rowHidden="false" textHAlign="justify" textVAlign="top">
            <anchor moveWithCells="false" sizeWithCells="false">
              <xdr:from>
                <xdr:col>5</xdr:col>
                <xdr:colOff>52</xdr:colOff>
                <xdr:row>3</xdr:row>
                <xdr:rowOff>0</xdr:rowOff>
              </xdr:from>
              <xdr:to>
                <xdr:col>8</xdr:col>
                <xdr:colOff>16</xdr:colOff>
                <xdr:row>5</xdr:row>
                <xdr:rowOff>16</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If Certification is exclusive for an Employee, the Allocation number will turn to 1.</t>
        </r>
      </text>
      <mc:AlternateContent>
        <mc:Choice Requires="v2">
          <commentPr autoFill="true" autoScale="false" colHidden="false" locked="false" rowHidden="false" textHAlign="justify" textVAlign="top">
            <anchor moveWithCells="false" sizeWithCells="false">
              <xdr:from>
                <xdr:col>5</xdr:col>
                <xdr:colOff>36</xdr:colOff>
                <xdr:row>4</xdr:row>
                <xdr:rowOff>16</xdr:rowOff>
              </xdr:from>
              <xdr:to>
                <xdr:col>9</xdr:col>
                <xdr:colOff>24</xdr:colOff>
                <xdr:row>8</xdr:row>
                <xdr:rowOff>4</xdr:rowOff>
              </xdr:to>
            </anchor>
          </commentPr>
        </mc:Choice>
        <mc:Fallback/>
      </mc:AlternateContent>
    </comment>
  </commentList>
</comments>
</file>

<file path=xl/comments10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A table to describe and characterize the different Calendar Day types - both working and non-working.
Defined in Lookup Table: CalendarDayType</t>
        </r>
      </text>
      <mc:AlternateContent>
        <mc:Choice Requires="v2">
          <commentPr autoFill="true" autoScale="false" colHidden="false" locked="false" rowHidden="false" textHAlign="justify" textVAlign="top">
            <anchor moveWithCells="false" sizeWithCells="false">
              <xdr:from>
                <xdr:col>2</xdr:col>
                <xdr:colOff>28</xdr:colOff>
                <xdr:row>3</xdr:row>
                <xdr:rowOff>8</xdr:rowOff>
              </xdr:from>
              <xdr:to>
                <xdr:col>6</xdr:col>
                <xdr:colOff>20</xdr:colOff>
                <xdr:row>7</xdr:row>
                <xdr:rowOff>8</xdr:rowOff>
              </xdr:to>
            </anchor>
          </commentPr>
        </mc:Choice>
        <mc:Fallback/>
      </mc:AlternateContent>
    </comment>
  </commentList>
</comments>
</file>

<file path=xl/comments10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Ana Mota</author>
    <author>José Romeu Gonçalves</author>
    <author>Manuel Maria Brandão</author>
  </authors>
  <commentList>
    <comment ref="C1" authorId="2">
      <text>
        <r>
          <rPr>
            <sz val="10"/>
            <rFont val="Arial"/>
            <family val="2"/>
          </rPr>
          <t xml:space="preserve">Value Must belong to:
</t>
        </r>
        <r>
          <rPr>
            <sz val="9"/>
            <color rgb="FF000000"/>
            <rFont val="Tahoma"/>
            <family val="2"/>
            <charset val="1"/>
          </rPr>
          <t xml:space="preserve">LookupTable ShiftPlanType</t>
        </r>
      </text>
      <mc:AlternateContent>
        <mc:Choice Requires="v2">
          <commentPr autoFill="true" autoScale="false" colHidden="false" locked="false" rowHidden="false" textHAlign="justify" textVAlign="top">
            <anchor moveWithCells="false" sizeWithCells="false">
              <xdr:from>
                <xdr:col>3</xdr:col>
                <xdr:colOff>0</xdr:colOff>
                <xdr:row>7</xdr:row>
                <xdr:rowOff>12</xdr:rowOff>
              </xdr:from>
              <xdr:to>
                <xdr:col>5</xdr:col>
                <xdr:colOff>16</xdr:colOff>
                <xdr:row>10</xdr:row>
                <xdr:rowOff>4</xdr:rowOff>
              </xdr:to>
            </anchor>
          </commentPr>
        </mc:Choice>
        <mc:Fallback/>
      </mc:AlternateContent>
    </comment>
    <comment ref="F1" authorId="1">
      <text>
        <r>
          <rPr>
            <sz val="10"/>
            <rFont val="Arial"/>
            <family val="2"/>
          </rPr>
          <t xml:space="preserve">José Romeu Gonçalves:
</t>
        </r>
        <r>
          <rPr>
            <sz val="9"/>
            <color rgb="FF000000"/>
            <rFont val="Tahoma"/>
            <family val="2"/>
            <charset val="1"/>
          </rPr>
          <t xml:space="preserve">
Members of the Owner Role will be able to manage all the Calendar Days of the Shift Plan.</t>
        </r>
      </text>
      <mc:AlternateContent>
        <mc:Choice Requires="v2">
          <commentPr autoFill="true" autoScale="false" colHidden="false" locked="false" rowHidden="false" textHAlign="justify" textVAlign="top">
            <anchor moveWithCells="false" sizeWithCells="false">
              <xdr:from>
                <xdr:col>7</xdr:col>
                <xdr:colOff>24</xdr:colOff>
                <xdr:row>4</xdr:row>
                <xdr:rowOff>0</xdr:rowOff>
              </xdr:from>
              <xdr:to>
                <xdr:col>11</xdr:col>
                <xdr:colOff>44</xdr:colOff>
                <xdr:row>7</xdr:row>
                <xdr:rowOff>8</xdr:rowOff>
              </xdr:to>
            </anchor>
          </commentPr>
        </mc:Choice>
        <mc:Fallback/>
      </mc:AlternateContent>
    </comment>
    <comment ref="G1" authorId="0">
      <text>
        <r>
          <rPr>
            <sz val="10"/>
            <rFont val="Arial"/>
            <family val="2"/>
          </rPr>
          <t xml:space="preserve">Syntax:
</t>
        </r>
        <r>
          <rPr>
            <sz val="9"/>
            <color rgb="FF000000"/>
            <rFont val="Tahoma"/>
            <family val="2"/>
            <charset val="1"/>
          </rPr>
          <t xml:space="preserve">
Rules of scope ShiftPlanning to validate specific working time rules
List of rules assigned to ShiftPlan:
Rule1/Rule2/Rule3
</t>
        </r>
        <r>
          <rPr>
            <sz val="11"/>
            <color rgb="FF000000"/>
            <rFont val="Tahoma"/>
            <family val="2"/>
            <charset val="1"/>
          </rPr>
          <t xml:space="preserve">
</t>
        </r>
      </text>
      <mc:AlternateContent>
        <mc:Choice Requires="v2">
          <commentPr autoFill="true" autoScale="false" colHidden="false" locked="false" rowHidden="false" textHAlign="justify" textVAlign="top">
            <anchor moveWithCells="false" sizeWithCells="false">
              <xdr:from>
                <xdr:col>10</xdr:col>
                <xdr:colOff>48</xdr:colOff>
                <xdr:row>5</xdr:row>
                <xdr:rowOff>12</xdr:rowOff>
              </xdr:from>
              <xdr:to>
                <xdr:col>16</xdr:col>
                <xdr:colOff>24</xdr:colOff>
                <xdr:row>10</xdr:row>
                <xdr:rowOff>16</xdr:rowOff>
              </xdr:to>
            </anchor>
          </commentPr>
        </mc:Choice>
        <mc:Fallback/>
      </mc:AlternateContent>
    </comment>
  </commentList>
</comments>
</file>

<file path=xl/comments10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Ana Mota</author>
    <author>José Romeu Gonçalves</author>
  </authors>
  <commentList>
    <comment ref="B1" authorId="1">
      <text>
        <r>
          <rPr>
            <sz val="10"/>
            <rFont val="Arial"/>
            <family val="2"/>
          </rPr>
          <t xml:space="preserve">José Romeu Gonçalves:
</t>
        </r>
        <r>
          <rPr>
            <sz val="9"/>
            <color rgb="FF000000"/>
            <rFont val="Tahoma"/>
            <family val="2"/>
            <charset val="1"/>
          </rPr>
          <t xml:space="preserve">
WorkGroupName must be unique within the Shift Plan</t>
        </r>
      </text>
      <mc:AlternateContent>
        <mc:Choice Requires="v2">
          <commentPr autoFill="true" autoScale="false" colHidden="false" locked="false" rowHidden="false" textHAlign="justify" textVAlign="top">
            <anchor moveWithCells="false" sizeWithCells="false">
              <xdr:from>
                <xdr:col>2</xdr:col>
                <xdr:colOff>32</xdr:colOff>
                <xdr:row>7</xdr:row>
                <xdr:rowOff>16</xdr:rowOff>
              </xdr:from>
              <xdr:to>
                <xdr:col>4</xdr:col>
                <xdr:colOff>36</xdr:colOff>
                <xdr:row>11</xdr:row>
                <xdr:rowOff>4</xdr:rowOff>
              </xdr:to>
            </anchor>
          </commentPr>
        </mc:Choice>
        <mc:Fallback/>
      </mc:AlternateContent>
    </comment>
    <comment ref="D1" authorId="1">
      <text>
        <r>
          <rPr>
            <sz val="10"/>
            <rFont val="Arial"/>
            <family val="2"/>
          </rPr>
          <t xml:space="preserve">José Romeu Gonçalves:
</t>
        </r>
        <r>
          <rPr>
            <sz val="9"/>
            <color rgb="FF000000"/>
            <rFont val="Tahoma"/>
            <family val="2"/>
            <charset val="1"/>
          </rPr>
          <t xml:space="preserve">
Role. Members of the Owner Role will be able to manage the Calendar Days of within the Workgroup</t>
        </r>
      </text>
      <mc:AlternateContent>
        <mc:Choice Requires="v2">
          <commentPr autoFill="true" autoScale="false" colHidden="false" locked="false" rowHidden="false" textHAlign="justify" textVAlign="top">
            <anchor moveWithCells="false" sizeWithCells="false">
              <xdr:from>
                <xdr:col>2</xdr:col>
                <xdr:colOff>52</xdr:colOff>
                <xdr:row>3</xdr:row>
                <xdr:rowOff>0</xdr:rowOff>
              </xdr:from>
              <xdr:to>
                <xdr:col>5</xdr:col>
                <xdr:colOff>112</xdr:colOff>
                <xdr:row>6</xdr:row>
                <xdr:rowOff>8</xdr:rowOff>
              </xdr:to>
            </anchor>
          </commentPr>
        </mc:Choice>
        <mc:Fallback/>
      </mc:AlternateContent>
    </comment>
    <comment ref="E1" authorId="0">
      <text>
        <r>
          <rPr>
            <sz val="10"/>
            <rFont val="Arial"/>
            <family val="2"/>
          </rPr>
          <t xml:space="preserve">Syntax:
</t>
        </r>
        <r>
          <rPr>
            <sz val="9"/>
            <color rgb="FF000000"/>
            <rFont val="Tahoma"/>
            <family val="2"/>
            <charset val="1"/>
          </rPr>
          <t xml:space="preserve">Resource
List of resources assigned to workgroup
Resource1/Resource2/Resource3
Each Resource is delimited by '/'</t>
        </r>
      </text>
      <mc:AlternateContent>
        <mc:Choice Requires="v2">
          <commentPr autoFill="true" autoScale="false" colHidden="false" locked="false" rowHidden="false" textHAlign="justify" textVAlign="top">
            <anchor moveWithCells="false" sizeWithCells="false">
              <xdr:from>
                <xdr:col>5</xdr:col>
                <xdr:colOff>108</xdr:colOff>
                <xdr:row>4</xdr:row>
                <xdr:rowOff>8</xdr:rowOff>
              </xdr:from>
              <xdr:to>
                <xdr:col>8</xdr:col>
                <xdr:colOff>40</xdr:colOff>
                <xdr:row>10</xdr:row>
                <xdr:rowOff>4</xdr:rowOff>
              </xdr:to>
            </anchor>
          </commentPr>
        </mc:Choice>
        <mc:Fallback/>
      </mc:AlternateContent>
    </comment>
    <comment ref="F1" authorId="0">
      <text>
        <r>
          <rPr>
            <sz val="10"/>
            <rFont val="Arial"/>
            <family val="2"/>
          </rPr>
          <t xml:space="preserve">Syntax:
</t>
        </r>
        <r>
          <rPr>
            <sz val="9"/>
            <color rgb="FF000000"/>
            <rFont val="Tahoma"/>
            <family val="2"/>
            <charset val="1"/>
          </rPr>
          <t xml:space="preserve">Personnel Requirements
List of Personnel requirements for workgroup
Certification1:1/Certification2:4/Certification3:2
Each Line is delimited by '/', the first element is the Position name and the second element is the quantity
</t>
        </r>
      </text>
      <mc:AlternateContent>
        <mc:Choice Requires="v2">
          <commentPr autoFill="true" autoScale="false" colHidden="false" locked="false" rowHidden="false" textHAlign="justify" textVAlign="top">
            <anchor moveWithCells="false" sizeWithCells="false">
              <xdr:from>
                <xdr:col>5</xdr:col>
                <xdr:colOff>64</xdr:colOff>
                <xdr:row>1</xdr:row>
                <xdr:rowOff>16</xdr:rowOff>
              </xdr:from>
              <xdr:to>
                <xdr:col>9</xdr:col>
                <xdr:colOff>32</xdr:colOff>
                <xdr:row>8</xdr:row>
                <xdr:rowOff>8</xdr:rowOff>
              </xdr:to>
            </anchor>
          </commentPr>
        </mc:Choice>
        <mc:Fallback/>
      </mc:AlternateContent>
    </comment>
  </commentList>
</comments>
</file>

<file path=xl/comments10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Workgroup</t>
        </r>
      </text>
      <mc:AlternateContent>
        <mc:Choice Requires="v2">
          <commentPr autoFill="true" autoScale="false" colHidden="false" locked="false" rowHidden="false" textHAlign="justify" textVAlign="top">
            <anchor moveWithCells="false" sizeWithCells="false">
              <xdr:from>
                <xdr:col>1</xdr:col>
                <xdr:colOff>44</xdr:colOff>
                <xdr:row>1</xdr:row>
                <xdr:rowOff>4</xdr:rowOff>
              </xdr:from>
              <xdr:to>
                <xdr:col>4</xdr:col>
                <xdr:colOff>16</xdr:colOff>
                <xdr:row>3</xdr:row>
                <xdr:rowOff>16</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Steps</t>
        </r>
      </text>
      <mc:AlternateContent>
        <mc:Choice Requires="v2">
          <commentPr autoFill="true" autoScale="false" colHidden="false" locked="false" rowHidden="false" textHAlign="justify" textVAlign="top">
            <anchor moveWithCells="false" sizeWithCells="false">
              <xdr:from>
                <xdr:col>2</xdr:col>
                <xdr:colOff>44</xdr:colOff>
                <xdr:row>3</xdr:row>
                <xdr:rowOff>0</xdr:rowOff>
              </xdr:from>
              <xdr:to>
                <xdr:col>5</xdr:col>
                <xdr:colOff>32</xdr:colOff>
                <xdr:row>5</xdr:row>
                <xdr:rowOff>16</xdr:rowOff>
              </xdr:to>
            </anchor>
          </commentPr>
        </mc:Choice>
        <mc:Fallback/>
      </mc:AlternateContent>
    </comment>
  </commentList>
</comments>
</file>

<file path=xl/comments1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KPIType</t>
        </r>
      </text>
      <mc:AlternateContent>
        <mc:Choice Requires="v2">
          <commentPr autoFill="true" autoScale="false" colHidden="false" locked="false" rowHidden="false" textHAlign="justify" textVAlign="top">
            <anchor moveWithCells="false" sizeWithCells="false">
              <xdr:from>
                <xdr:col>3</xdr:col>
                <xdr:colOff>12</xdr:colOff>
                <xdr:row>1</xdr:row>
                <xdr:rowOff>20</xdr:rowOff>
              </xdr:from>
              <xdr:to>
                <xdr:col>5</xdr:col>
                <xdr:colOff>4</xdr:colOff>
                <xdr:row>4</xdr:row>
                <xdr:rowOff>8</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f the Source Type is Static, the Parameter must be numeric and if the Source Type is Dynamic, it can be of any type.</t>
        </r>
      </text>
      <mc:AlternateContent>
        <mc:Choice Requires="v2">
          <commentPr autoFill="true" autoScale="false" colHidden="false" locked="false" rowHidden="false" textHAlign="justify" textVAlign="top">
            <anchor moveWithCells="false" sizeWithCells="false">
              <xdr:from>
                <xdr:col>1</xdr:col>
                <xdr:colOff>68</xdr:colOff>
                <xdr:row>2</xdr:row>
                <xdr:rowOff>16</xdr:rowOff>
              </xdr:from>
              <xdr:to>
                <xdr:col>5</xdr:col>
                <xdr:colOff>28</xdr:colOff>
                <xdr:row>7</xdr:row>
                <xdr:rowOff>4</xdr:rowOff>
              </xdr:to>
            </anchor>
          </commentPr>
        </mc:Choice>
        <mc:Fallback/>
      </mc:AlternateContent>
    </comment>
  </commentList>
</comments>
</file>

<file path=xl/comments1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LookupTable DataCollectionType</t>
        </r>
      </text>
      <mc:AlternateContent>
        <mc:Choice Requires="v2">
          <commentPr autoFill="true" autoScale="false" colHidden="false" locked="false" rowHidden="false" textHAlign="justify" textVAlign="top">
            <anchor moveWithCells="false" sizeWithCells="false">
              <xdr:from>
                <xdr:col>0</xdr:col>
                <xdr:colOff>320</xdr:colOff>
                <xdr:row>2</xdr:row>
                <xdr:rowOff>12</xdr:rowOff>
              </xdr:from>
              <xdr:to>
                <xdr:col>1</xdr:col>
                <xdr:colOff>48</xdr:colOff>
                <xdr:row>4</xdr:row>
                <xdr:rowOff>20</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t>
        </r>
        <r>
          <rPr>
            <u val="single"/>
            <sz val="9"/>
            <color rgb="FF000000"/>
            <rFont val="Tahoma"/>
            <family val="2"/>
            <charset val="1"/>
          </rPr>
          <t xml:space="preserve">OnPostPerSample:</t>
        </r>
        <r>
          <rPr>
            <sz val="9"/>
            <color rgb="FF000000"/>
            <rFont val="Tahoma"/>
            <family val="2"/>
            <charset val="1"/>
          </rPr>
          <t xml:space="preserve"> every time a new sample is posted, it is posted to SPC as a data point.
</t>
        </r>
        <r>
          <rPr>
            <u val="single"/>
            <sz val="9"/>
            <color rgb="FF000000"/>
            <rFont val="Tahoma"/>
            <family val="2"/>
            <charset val="1"/>
          </rPr>
          <t xml:space="preserve">OnClosePerSample</t>
        </r>
        <r>
          <rPr>
            <sz val="9"/>
            <color rgb="FF000000"/>
            <rFont val="Tahoma"/>
            <family val="2"/>
            <charset val="1"/>
          </rPr>
          <t xml:space="preserve">: each sample will be sent individually to SPC as its own data point, but only when the Data Collection is closed.
</t>
        </r>
        <r>
          <rPr>
            <u val="single"/>
            <sz val="9"/>
            <color rgb="FF000000"/>
            <rFont val="Tahoma"/>
            <family val="2"/>
            <charset val="1"/>
          </rPr>
          <t xml:space="preserve">OnClosePerParameter</t>
        </r>
        <r>
          <rPr>
            <sz val="9"/>
            <color rgb="FF000000"/>
            <rFont val="Tahoma"/>
            <family val="2"/>
            <charset val="1"/>
          </rPr>
          <t xml:space="preserve">: all samples of the same parameter will be sent together to SPC as one data point, when the Data Collection is closed.</t>
        </r>
      </text>
      <mc:AlternateContent>
        <mc:Choice Requires="v2">
          <commentPr autoFill="true" autoScale="false" colHidden="false" locked="false" rowHidden="false" textHAlign="justify" textVAlign="top">
            <anchor moveWithCells="false" sizeWithCells="false">
              <xdr:from>
                <xdr:col>0</xdr:col>
                <xdr:colOff>400</xdr:colOff>
                <xdr:row>7</xdr:row>
                <xdr:rowOff>0</xdr:rowOff>
              </xdr:from>
              <xdr:to>
                <xdr:col>9</xdr:col>
                <xdr:colOff>16</xdr:colOff>
                <xdr:row>12</xdr:row>
                <xdr:rowOff>20</xdr:rowOff>
              </xdr:to>
            </anchor>
          </commentPr>
        </mc:Choice>
        <mc:Fallback/>
      </mc:AlternateContent>
    </comment>
  </commentList>
</comments>
</file>

<file path=xl/comments1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Ricardo Cunha</author>
  </authors>
  <commentList>
    <comment ref="E1" authorId="0">
      <text>
        <r>
          <rPr>
            <sz val="10"/>
            <rFont val="Arial"/>
            <family val="2"/>
          </rPr>
          <t xml:space="preserve">José Romeu Gonçalves:
</t>
        </r>
        <r>
          <rPr>
            <sz val="9"/>
            <color rgb="FF000000"/>
            <rFont val="Tahoma"/>
            <family val="2"/>
            <charset val="1"/>
          </rPr>
          <t xml:space="preserve">
Defines for whether this Parameter is only displayed, but not captured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-86</xdr:colOff>
                <xdr:row>6</xdr:row>
                <xdr:rowOff>4</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All parameters from a parameter group are displayed in a table form, sharing the same sample ID. All parameters within the same parameter group must have the same:
- SampleCountPercentage
- SampleCountPercentageSource
- MinimumSamples
- MaximumSamples
- SampleKeySource
- SampleKeyType
- MinimumSampleReadings = 1
- MaximumSampleReadings = 1</t>
        </r>
      </text>
      <mc:AlternateContent>
        <mc:Choice Requires="v2">
          <commentPr autoFill="true" autoScale="false" colHidden="false" locked="false" rowHidden="false" textHAlign="justify" textVAlign="top">
            <anchor moveWithCells="false" sizeWithCells="false">
              <xdr:from>
                <xdr:col>2</xdr:col>
                <xdr:colOff>8</xdr:colOff>
                <xdr:row>1</xdr:row>
                <xdr:rowOff>0</xdr:rowOff>
              </xdr:from>
              <xdr:to>
                <xdr:col>5</xdr:col>
                <xdr:colOff>128</xdr:colOff>
                <xdr:row>7</xdr:row>
                <xdr:rowOff>20</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Specifies for Inspection, how the instrument is captured for the Parameter</t>
        </r>
      </text>
      <mc:AlternateContent>
        <mc:Choice Requires="v2">
          <commentPr autoFill="true" autoScale="false" colHidden="false" locked="false" rowHidden="false" textHAlign="justify" textVAlign="top">
            <anchor moveWithCells="false" sizeWithCells="false">
              <xdr:from>
                <xdr:col>5</xdr:col>
                <xdr:colOff>136</xdr:colOff>
                <xdr:row>0</xdr:row>
                <xdr:rowOff>0</xdr:rowOff>
              </xdr:from>
              <xdr:to>
                <xdr:col>7</xdr:col>
                <xdr:colOff>56</xdr:colOff>
                <xdr:row>1</xdr:row>
                <xdr:rowOff>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Used to further narrow the available instruments that can be used to capture this instrument
Value from LookupTable 
InstrumentType</t>
        </r>
      </text>
      <mc:AlternateContent>
        <mc:Choice Requires="v2">
          <commentPr autoFill="true" autoScale="false" colHidden="false" locked="false" rowHidden="false" textHAlign="justify" textVAlign="top">
            <anchor moveWithCells="false" sizeWithCells="false">
              <xdr:from>
                <xdr:col>9</xdr:col>
                <xdr:colOff>23</xdr:colOff>
                <xdr:row>0</xdr:row>
                <xdr:rowOff>0</xdr:rowOff>
              </xdr:from>
              <xdr:to>
                <xdr:col>10</xdr:col>
                <xdr:colOff>-13</xdr:colOff>
                <xdr:row>9</xdr:row>
                <xdr:rowOff>16</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Defines for Inspection, how the number of Samples is calculated</t>
        </r>
      </text>
      <mc:AlternateContent>
        <mc:Choice Requires="v2">
          <commentPr autoFill="true" autoScale="false" colHidden="false" locked="false" rowHidden="false" textHAlign="justify" textVAlign="top">
            <anchor moveWithCells="false" sizeWithCells="false">
              <xdr:from>
                <xdr:col>6</xdr:col>
                <xdr:colOff>52</xdr:colOff>
                <xdr:row>0</xdr:row>
                <xdr:rowOff>0</xdr:rowOff>
              </xdr:from>
              <xdr:to>
                <xdr:col>8</xdr:col>
                <xdr:colOff>52</xdr:colOff>
                <xdr:row>1</xdr:row>
                <xdr:rowOff>0</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Defines if the Configuration comes from the system (automatic) or if it´s set manually</t>
        </r>
      </text>
      <mc:AlternateContent>
        <mc:Choice Requires="v2">
          <commentPr autoFill="true" autoScale="false" colHidden="false" locked="false" rowHidden="false" textHAlign="justify" textVAlign="top">
            <anchor moveWithCells="false" sizeWithCells="false">
              <xdr:from>
                <xdr:col>11</xdr:col>
                <xdr:colOff>23</xdr:colOff>
                <xdr:row>0</xdr:row>
                <xdr:rowOff>0</xdr:rowOff>
              </xdr:from>
              <xdr:to>
                <xdr:col>12</xdr:col>
                <xdr:colOff>-6</xdr:colOff>
                <xdr:row>6</xdr:row>
                <xdr:rowOff>18</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Defines the AQL Inspection level to be used in case that the Inspection Frequency is AQL and the Inspection Frequency Configuration Mode is manual
Value from lookupTable AQLInspectionLevel</t>
        </r>
      </text>
      <mc:AlternateContent>
        <mc:Choice Requires="v2">
          <commentPr autoFill="true" autoScale="false" colHidden="false" locked="false" rowHidden="false" textHAlign="justify" textVAlign="top">
            <anchor moveWithCells="false" sizeWithCells="false">
              <xdr:from>
                <xdr:col>12</xdr:col>
                <xdr:colOff>23</xdr:colOff>
                <xdr:row>0</xdr:row>
                <xdr:rowOff>0</xdr:rowOff>
              </xdr:from>
              <xdr:to>
                <xdr:col>13</xdr:col>
                <xdr:colOff>46</xdr:colOff>
                <xdr:row>12</xdr:row>
                <xdr:rowOff>14</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Defines the AQL Severity to be used in case that the Inspection Frequency is AQL and the Inspection Frequency Configuration Mode is manual.
From LookupTable AQLSeverity</t>
        </r>
      </text>
      <mc:AlternateContent>
        <mc:Choice Requires="v2">
          <commentPr autoFill="true" autoScale="false" colHidden="false" locked="false" rowHidden="false" textHAlign="justify" textVAlign="top">
            <anchor moveWithCells="false" sizeWithCells="false">
              <xdr:from>
                <xdr:col>13</xdr:col>
                <xdr:colOff>23</xdr:colOff>
                <xdr:row>0</xdr:row>
                <xdr:rowOff>0</xdr:rowOff>
              </xdr:from>
              <xdr:to>
                <xdr:col>14</xdr:col>
                <xdr:colOff>-12</xdr:colOff>
                <xdr:row>11</xdr:row>
                <xdr:rowOff>5</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Defines the AQL Acceptance Limit to be used in case that the Inspection Frequency is AQL and the Inspection Frequency Configuration Mode is manual
From LookupTable AQLAcceptanceLimit</t>
        </r>
      </text>
      <mc:AlternateContent>
        <mc:Choice Requires="v2">
          <commentPr autoFill="true" autoScale="false" colHidden="false" locked="false" rowHidden="false" textHAlign="justify" textVAlign="top">
            <anchor moveWithCells="false" sizeWithCells="false">
              <xdr:from>
                <xdr:col>14</xdr:col>
                <xdr:colOff>23</xdr:colOff>
                <xdr:row>0</xdr:row>
                <xdr:rowOff>0</xdr:rowOff>
              </xdr:from>
              <xdr:to>
                <xdr:col>15</xdr:col>
                <xdr:colOff>2</xdr:colOff>
                <xdr:row>11</xdr:row>
                <xdr:rowOff>20</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The counter frequency, if Inspection Frequency is CounterBased</t>
        </r>
      </text>
      <mc:AlternateContent>
        <mc:Choice Requires="v2">
          <commentPr autoFill="true" autoScale="false" colHidden="false" locked="false" rowHidden="false" textHAlign="justify" textVAlign="top">
            <anchor moveWithCells="false" sizeWithCells="false">
              <xdr:from>
                <xdr:col>15</xdr:col>
                <xdr:colOff>23</xdr:colOff>
                <xdr:row>0</xdr:row>
                <xdr:rowOff>0</xdr:rowOff>
              </xdr:from>
              <xdr:to>
                <xdr:col>16</xdr:col>
                <xdr:colOff>-109</xdr:colOff>
                <xdr:row>6</xdr:row>
                <xdr:rowOff>4</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The maximum number of acceptable defects, expressed as fixed value</t>
        </r>
      </text>
      <mc:AlternateContent>
        <mc:Choice Requires="v2">
          <commentPr autoFill="true" autoScale="false" colHidden="false" locked="false" rowHidden="false" textHAlign="justify" textVAlign="top">
            <anchor moveWithCells="false" sizeWithCells="false">
              <xdr:from>
                <xdr:col>17</xdr:col>
                <xdr:colOff>23</xdr:colOff>
                <xdr:row>0</xdr:row>
                <xdr:rowOff>0</xdr:rowOff>
              </xdr:from>
              <xdr:to>
                <xdr:col>18</xdr:col>
                <xdr:colOff>-145</xdr:colOff>
                <xdr:row>6</xdr:row>
                <xdr:rowOff>4</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Maximum number of acceptable defects, expressed as a percentage of the Sample Size</t>
        </r>
      </text>
      <mc:AlternateContent>
        <mc:Choice Requires="v2">
          <commentPr autoFill="true" autoScale="false" colHidden="false" locked="false" rowHidden="false" textHAlign="justify" textVAlign="top">
            <anchor moveWithCells="false" sizeWithCells="false">
              <xdr:from>
                <xdr:col>18</xdr:col>
                <xdr:colOff>23</xdr:colOff>
                <xdr:row>0</xdr:row>
                <xdr:rowOff>0</xdr:rowOff>
              </xdr:from>
              <xdr:to>
                <xdr:col>19</xdr:col>
                <xdr:colOff>3</xdr:colOff>
                <xdr:row>6</xdr:row>
                <xdr:rowOff>4</xdr:rowOff>
              </xdr:to>
            </anchor>
          </commentPr>
        </mc:Choice>
        <mc:Fallback/>
      </mc:AlternateContent>
    </comment>
    <comment ref="U1" authorId="0">
      <text>
        <r>
          <rPr>
            <sz val="10"/>
            <rFont val="Arial"/>
            <family val="2"/>
          </rPr>
          <t xml:space="preserve">José Romeu Gonçalves:
</t>
        </r>
        <r>
          <rPr>
            <sz val="9"/>
            <color rgb="FF000000"/>
            <rFont val="Tahoma"/>
            <family val="2"/>
            <charset val="1"/>
          </rPr>
          <t xml:space="preserve">
The size of the sample, if Inspection Frequency is Fixed</t>
        </r>
      </text>
      <mc:AlternateContent>
        <mc:Choice Requires="v2">
          <commentPr autoFill="true" autoScale="false" colHidden="false" locked="false" rowHidden="false" textHAlign="justify" textVAlign="top">
            <anchor moveWithCells="false" sizeWithCells="false">
              <xdr:from>
                <xdr:col>21</xdr:col>
                <xdr:colOff>23</xdr:colOff>
                <xdr:row>0</xdr:row>
                <xdr:rowOff>0</xdr:rowOff>
              </xdr:from>
              <xdr:to>
                <xdr:col>22</xdr:col>
                <xdr:colOff>54</xdr:colOff>
                <xdr:row>5</xdr:row>
                <xdr:rowOff>9</xdr:rowOff>
              </xdr:to>
            </anchor>
          </commentPr>
        </mc:Choice>
        <mc:Fallback/>
      </mc:AlternateContent>
    </comment>
    <comment ref="V1" authorId="0">
      <text>
        <r>
          <rPr>
            <sz val="10"/>
            <rFont val="Arial"/>
            <family val="2"/>
          </rPr>
          <t xml:space="preserve">José Romeu Gonçalves:
</t>
        </r>
        <r>
          <rPr>
            <sz val="9"/>
            <color rgb="FF000000"/>
            <rFont val="Tahoma"/>
            <family val="2"/>
            <charset val="1"/>
          </rPr>
          <t xml:space="preserve">
- Free text - A free Text
- List - in this case the sample names must be entered in the Sample List
- Material ID (the sample names must refer to valid material names in the hierarchy of the Material for which the data is being collected)
- Sample Size (for integration with SPC attribute Charts)</t>
        </r>
      </text>
      <mc:AlternateContent>
        <mc:Choice Requires="v2">
          <commentPr autoFill="true" autoScale="false" colHidden="false" locked="false" rowHidden="false" textHAlign="justify" textVAlign="top">
            <anchor moveWithCells="false" sizeWithCells="false">
              <xdr:from>
                <xdr:col>22</xdr:col>
                <xdr:colOff>23</xdr:colOff>
                <xdr:row>0</xdr:row>
                <xdr:rowOff>0</xdr:rowOff>
              </xdr:from>
              <xdr:to>
                <xdr:col>23</xdr:col>
                <xdr:colOff>-117</xdr:colOff>
                <xdr:row>17</xdr:row>
                <xdr:rowOff>16</xdr:rowOff>
              </xdr:to>
            </anchor>
          </commentPr>
        </mc:Choice>
        <mc:Fallback/>
      </mc:AlternateContent>
    </comment>
    <comment ref="W1" authorId="0">
      <text>
        <r>
          <rPr>
            <sz val="10"/>
            <rFont val="Arial"/>
            <family val="2"/>
          </rPr>
          <t xml:space="preserve">José Romeu Gonçalves:
</t>
        </r>
        <r>
          <rPr>
            <sz val="9"/>
            <color rgb="FF000000"/>
            <rFont val="Tahoma"/>
            <family val="2"/>
            <charset val="1"/>
          </rPr>
          <t xml:space="preserve">
Defines whether to use measure the first piece - only if Inspection Frequency is CounterBased</t>
        </r>
      </text>
      <mc:AlternateContent>
        <mc:Choice Requires="v2">
          <commentPr autoFill="true" autoScale="false" colHidden="false" locked="false" rowHidden="false" textHAlign="justify" textVAlign="top">
            <anchor moveWithCells="false" sizeWithCells="false">
              <xdr:from>
                <xdr:col>23</xdr:col>
                <xdr:colOff>23</xdr:colOff>
                <xdr:row>0</xdr:row>
                <xdr:rowOff>0</xdr:rowOff>
              </xdr:from>
              <xdr:to>
                <xdr:col>24</xdr:col>
                <xdr:colOff>3</xdr:colOff>
                <xdr:row>6</xdr:row>
                <xdr:rowOff>18</xdr:rowOff>
              </xdr:to>
            </anchor>
          </commentPr>
        </mc:Choice>
        <mc:Fallback/>
      </mc:AlternateContent>
    </comment>
    <comment ref="X1" authorId="0">
      <text>
        <r>
          <rPr>
            <sz val="10"/>
            <rFont val="Arial"/>
            <family val="2"/>
          </rPr>
          <t xml:space="preserve">José Romeu Gonçalves:
</t>
        </r>
        <r>
          <rPr>
            <sz val="9"/>
            <color rgb="FF000000"/>
            <rFont val="Tahoma"/>
            <family val="2"/>
            <charset val="1"/>
          </rPr>
          <t xml:space="preserve">
Defines whether to use measure the last piece - only if Inspection Frequency is CounterBased</t>
        </r>
      </text>
      <mc:AlternateContent>
        <mc:Choice Requires="v2">
          <commentPr autoFill="true" autoScale="false" colHidden="false" locked="false" rowHidden="false" textHAlign="justify" textVAlign="top">
            <anchor moveWithCells="false" sizeWithCells="false">
              <xdr:from>
                <xdr:col>24</xdr:col>
                <xdr:colOff>23</xdr:colOff>
                <xdr:row>0</xdr:row>
                <xdr:rowOff>0</xdr:rowOff>
              </xdr:from>
              <xdr:to>
                <xdr:col>25</xdr:col>
                <xdr:colOff>-12</xdr:colOff>
                <xdr:row>6</xdr:row>
                <xdr:rowOff>18</xdr:rowOff>
              </xdr:to>
            </anchor>
          </commentPr>
        </mc:Choice>
        <mc:Fallback/>
      </mc:AlternateContent>
    </comment>
    <comment ref="Y1" authorId="0">
      <text>
        <r>
          <rPr>
            <sz val="10"/>
            <rFont val="Arial"/>
            <family val="2"/>
          </rPr>
          <t xml:space="preserve">José Romeu Gonçalves:
</t>
        </r>
        <r>
          <rPr>
            <sz val="9"/>
            <color rgb="FF000000"/>
            <rFont val="Tahoma"/>
            <family val="2"/>
            <charset val="1"/>
          </rPr>
          <t xml:space="preserve">
Defines whether all units must be tested if one unit fails, for Parameters of type Variable</t>
        </r>
      </text>
      <mc:AlternateContent>
        <mc:Choice Requires="v2">
          <commentPr autoFill="true" autoScale="false" colHidden="false" locked="false" rowHidden="false" textHAlign="justify" textVAlign="top">
            <anchor moveWithCells="false" sizeWithCells="false">
              <xdr:from>
                <xdr:col>25</xdr:col>
                <xdr:colOff>23</xdr:colOff>
                <xdr:row>0</xdr:row>
                <xdr:rowOff>0</xdr:rowOff>
              </xdr:from>
              <xdr:to>
                <xdr:col>26</xdr:col>
                <xdr:colOff>39</xdr:colOff>
                <xdr:row>6</xdr:row>
                <xdr:rowOff>18</xdr:rowOff>
              </xdr:to>
            </anchor>
          </commentPr>
        </mc:Choice>
        <mc:Fallback/>
      </mc:AlternateContent>
    </comment>
    <comment ref="Z1" authorId="0">
      <text>
        <r>
          <rPr>
            <sz val="10"/>
            <rFont val="Arial"/>
            <family val="2"/>
          </rPr>
          <t xml:space="preserve">José Romeu Gonçalves:
</t>
        </r>
        <r>
          <rPr>
            <sz val="9"/>
            <color rgb="FF000000"/>
            <rFont val="Tahoma"/>
            <family val="2"/>
            <charset val="1"/>
          </rPr>
          <t xml:space="preserve">
Defines whether all units must be tested if one unit fails, for Parameters of type Attribute</t>
        </r>
      </text>
      <mc:AlternateContent>
        <mc:Choice Requires="v2">
          <commentPr autoFill="true" autoScale="false" colHidden="false" locked="false" rowHidden="false" textHAlign="justify" textVAlign="top">
            <anchor moveWithCells="false" sizeWithCells="false">
              <xdr:from>
                <xdr:col>26</xdr:col>
                <xdr:colOff>23</xdr:colOff>
                <xdr:row>0</xdr:row>
                <xdr:rowOff>0</xdr:rowOff>
              </xdr:from>
              <xdr:to>
                <xdr:col>27</xdr:col>
                <xdr:colOff>-53</xdr:colOff>
                <xdr:row>6</xdr:row>
                <xdr:rowOff>18</xdr:rowOff>
              </xdr:to>
            </anchor>
          </commentPr>
        </mc:Choice>
        <mc:Fallback/>
      </mc:AlternateContent>
    </comment>
    <comment ref="AB1" authorId="0">
      <text>
        <r>
          <rPr>
            <sz val="10"/>
            <rFont val="Arial"/>
            <family val="2"/>
          </rPr>
          <t xml:space="preserve">For SampleyKey = MaterialID
if no Material Form is specified, any Material Form will be accepted</t>
        </r>
      </text>
      <mc:AlternateContent>
        <mc:Choice Requires="v2">
          <commentPr autoFill="true" autoScale="false" colHidden="false" locked="false" rowHidden="false" textHAlign="justify" textVAlign="top">
            <anchor moveWithCells="false" sizeWithCells="false">
              <xdr:from>
                <xdr:col>28</xdr:col>
                <xdr:colOff>23</xdr:colOff>
                <xdr:row>0</xdr:row>
                <xdr:rowOff>0</xdr:rowOff>
              </xdr:from>
              <xdr:to>
                <xdr:col>29</xdr:col>
                <xdr:colOff>3</xdr:colOff>
                <xdr:row>5</xdr:row>
                <xdr:rowOff>11</xdr:rowOff>
              </xdr:to>
            </anchor>
          </commentPr>
        </mc:Choice>
        <mc:Fallback/>
      </mc:AlternateContent>
    </comment>
    <comment ref="AF1" authorId="1">
      <text>
        <r>
          <rPr>
            <sz val="10"/>
            <rFont val="Arial"/>
            <family val="2"/>
          </rPr>
          <t xml:space="preserve">Syntax:
</t>
        </r>
        <r>
          <rPr>
            <sz val="9"/>
            <color rgb="FF000000"/>
            <rFont val="Tahoma"/>
            <family val="2"/>
            <charset val="1"/>
          </rPr>
          <t xml:space="preserve">For SampleyKey = "MaterialID": MaterialCount
for Sampley = "FreeText": PrimaryQuantity or SecondaryQuantity or MaterialsCount
If MaterialsCount is specified, the percentage value will be applied to the count of all Materials and Sub-materials of the specified form (if a form is specified) or simply to all Materials and Sub-Materials (if no form is specified).</t>
        </r>
      </text>
      <mc:AlternateContent>
        <mc:Choice Requires="v2">
          <commentPr autoFill="true" autoScale="false" colHidden="false" locked="false" rowHidden="false" textHAlign="justify" textVAlign="top">
            <anchor moveWithCells="false" sizeWithCells="false">
              <xdr:from>
                <xdr:col>32</xdr:col>
                <xdr:colOff>23</xdr:colOff>
                <xdr:row>0</xdr:row>
                <xdr:rowOff>0</xdr:rowOff>
              </xdr:from>
              <xdr:to>
                <xdr:col>33</xdr:col>
                <xdr:colOff>-49</xdr:colOff>
                <xdr:row>17</xdr:row>
                <xdr:rowOff>16</xdr:rowOff>
              </xdr:to>
            </anchor>
          </commentPr>
        </mc:Choice>
        <mc:Fallback/>
      </mc:AlternateContent>
    </comment>
    <comment ref="AJ1" authorId="1">
      <text>
        <r>
          <rPr>
            <sz val="10"/>
            <rFont val="Arial"/>
            <family val="2"/>
          </rPr>
          <t xml:space="preserve">Syntax:
</t>
        </r>
        <r>
          <rPr>
            <sz val="9"/>
            <color rgb="FF000000"/>
            <rFont val="Tahoma"/>
            <family val="2"/>
            <charset val="1"/>
          </rPr>
          <t xml:space="preserve">
A calculation to be applied to the readings and samples:
- None
- Average
- Standard Deviation
- Minimum
- Maximum
- Range
- Rule
- Sum</t>
        </r>
      </text>
      <mc:AlternateContent>
        <mc:Choice Requires="v2">
          <commentPr autoFill="true" autoScale="false" colHidden="false" locked="false" rowHidden="false" textHAlign="justify" textVAlign="top">
            <anchor moveWithCells="false" sizeWithCells="false">
              <xdr:from>
                <xdr:col>28</xdr:col>
                <xdr:colOff>44</xdr:colOff>
                <xdr:row>1</xdr:row>
                <xdr:rowOff>0</xdr:rowOff>
              </xdr:from>
              <xdr:to>
                <xdr:col>32</xdr:col>
                <xdr:colOff>96</xdr:colOff>
                <xdr:row>7</xdr:row>
                <xdr:rowOff>20</xdr:rowOff>
              </xdr:to>
            </anchor>
          </commentPr>
        </mc:Choice>
        <mc:Fallback/>
      </mc:AlternateContent>
    </comment>
    <comment ref="AK1" authorId="1">
      <text>
        <r>
          <rPr>
            <sz val="10"/>
            <rFont val="Arial"/>
            <family val="2"/>
          </rPr>
          <t xml:space="preserve">Syntax:
</t>
        </r>
        <r>
          <rPr>
            <sz val="9"/>
            <color rgb="FF000000"/>
            <rFont val="Tahoma"/>
            <family val="2"/>
            <charset val="1"/>
          </rPr>
          <t xml:space="preserve">
Possible Values:
None - only if the calculation is None or Rule
Sample - only if calculation is different from None
Parameter - only if calculation is different from None</t>
        </r>
      </text>
      <mc:AlternateContent>
        <mc:Choice Requires="v2">
          <commentPr autoFill="true" autoScale="false" colHidden="false" locked="false" rowHidden="false" textHAlign="justify" textVAlign="top">
            <anchor moveWithCells="false" sizeWithCells="false">
              <xdr:from>
                <xdr:col>37</xdr:col>
                <xdr:colOff>23</xdr:colOff>
                <xdr:row>0</xdr:row>
                <xdr:rowOff>0</xdr:rowOff>
              </xdr:from>
              <xdr:to>
                <xdr:col>38</xdr:col>
                <xdr:colOff>-8</xdr:colOff>
                <xdr:row>12</xdr:row>
                <xdr:rowOff>14</xdr:rowOff>
              </xdr:to>
            </anchor>
          </commentPr>
        </mc:Choice>
        <mc:Fallback/>
      </mc:AlternateContent>
    </comment>
    <comment ref="AL1" authorId="1">
      <text>
        <r>
          <rPr>
            <sz val="10"/>
            <rFont val="Arial"/>
            <family val="2"/>
          </rPr>
          <t xml:space="preserve">Syntax:
</t>
        </r>
        <r>
          <rPr>
            <sz val="9"/>
            <color rgb="FF000000"/>
            <rFont val="Tahoma"/>
            <family val="2"/>
            <charset val="1"/>
          </rPr>
          <t xml:space="preserve">
Possible Values:
Individual value (limits apply for individual readings)
Calculated value (limits apply to the calculated value)
</t>
        </r>
      </text>
      <mc:AlternateContent>
        <mc:Choice Requires="v2">
          <commentPr autoFill="true" autoScale="false" colHidden="false" locked="false" rowHidden="false" textHAlign="justify" textVAlign="top">
            <anchor moveWithCells="false" sizeWithCells="false">
              <xdr:from>
                <xdr:col>38</xdr:col>
                <xdr:colOff>23</xdr:colOff>
                <xdr:row>0</xdr:row>
                <xdr:rowOff>0</xdr:rowOff>
              </xdr:from>
              <xdr:to>
                <xdr:col>39</xdr:col>
                <xdr:colOff>95</xdr:colOff>
                <xdr:row>9</xdr:row>
                <xdr:rowOff>16</xdr:rowOff>
              </xdr:to>
            </anchor>
          </commentPr>
        </mc:Choice>
        <mc:Fallback/>
      </mc:AlternateContent>
    </comment>
    <comment ref="AM1" authorId="1">
      <text>
        <r>
          <rPr>
            <sz val="10"/>
            <rFont val="Arial"/>
            <family val="2"/>
          </rPr>
          <t xml:space="preserve">Syntax:
</t>
        </r>
        <r>
          <rPr>
            <sz val="9"/>
            <color rgb="FF000000"/>
            <rFont val="Tahoma"/>
            <family val="2"/>
            <charset val="1"/>
          </rPr>
          <t xml:space="preserve">
Valid Rule Name Scope = EDC</t>
        </r>
      </text>
      <mc:AlternateContent>
        <mc:Choice Requires="v2">
          <commentPr autoFill="true" autoScale="false" colHidden="false" locked="false" rowHidden="false" textHAlign="justify" textVAlign="top">
            <anchor moveWithCells="false" sizeWithCells="false">
              <xdr:from>
                <xdr:col>39</xdr:col>
                <xdr:colOff>23</xdr:colOff>
                <xdr:row>0</xdr:row>
                <xdr:rowOff>0</xdr:rowOff>
              </xdr:from>
              <xdr:to>
                <xdr:col>40</xdr:col>
                <xdr:colOff>-85</xdr:colOff>
                <xdr:row>3</xdr:row>
                <xdr:rowOff>5</xdr:rowOff>
              </xdr:to>
            </anchor>
          </commentPr>
        </mc:Choice>
        <mc:Fallback/>
      </mc:AlternateContent>
    </comment>
    <comment ref="AN1" authorId="1">
      <text>
        <r>
          <rPr>
            <sz val="10"/>
            <rFont val="Arial"/>
            <family val="2"/>
          </rPr>
          <t xml:space="preserve">Syntax:
</t>
        </r>
        <r>
          <rPr>
            <sz val="9"/>
            <color rgb="FF000000"/>
            <rFont val="Tahoma"/>
            <family val="2"/>
            <charset val="1"/>
          </rPr>
          <t xml:space="preserve">
Valid Protocol Name</t>
        </r>
      </text>
      <mc:AlternateContent>
        <mc:Choice Requires="v2">
          <commentPr autoFill="true" autoScale="false" colHidden="false" locked="false" rowHidden="false" textHAlign="justify" textVAlign="top">
            <anchor moveWithCells="false" sizeWithCells="false">
              <xdr:from>
                <xdr:col>40</xdr:col>
                <xdr:colOff>23</xdr:colOff>
                <xdr:row>0</xdr:row>
                <xdr:rowOff>0</xdr:rowOff>
              </xdr:from>
              <xdr:to>
                <xdr:col>41</xdr:col>
                <xdr:colOff>-57</xdr:colOff>
                <xdr:row>3</xdr:row>
                <xdr:rowOff>5</xdr:rowOff>
              </xdr:to>
            </anchor>
          </commentPr>
        </mc:Choice>
        <mc:Fallback/>
      </mc:AlternateContent>
    </comment>
    <comment ref="AO1" authorId="1">
      <text>
        <r>
          <rPr>
            <sz val="10"/>
            <rFont val="Arial"/>
            <family val="2"/>
          </rPr>
          <t xml:space="preserve">Syntax:
</t>
        </r>
        <r>
          <rPr>
            <sz val="9"/>
            <color rgb="FF000000"/>
            <rFont val="Tahoma"/>
            <family val="2"/>
            <charset val="1"/>
          </rPr>
          <t xml:space="preserve">
Valid Protocol Name</t>
        </r>
      </text>
      <mc:AlternateContent>
        <mc:Choice Requires="v2">
          <commentPr autoFill="true" autoScale="false" colHidden="false" locked="false" rowHidden="false" textHAlign="justify" textVAlign="top">
            <anchor moveWithCells="false" sizeWithCells="false">
              <xdr:from>
                <xdr:col>41</xdr:col>
                <xdr:colOff>23</xdr:colOff>
                <xdr:row>0</xdr:row>
                <xdr:rowOff>0</xdr:rowOff>
              </xdr:from>
              <xdr:to>
                <xdr:col>42</xdr:col>
                <xdr:colOff>54</xdr:colOff>
                <xdr:row>3</xdr:row>
                <xdr:rowOff>5</xdr:rowOff>
              </xdr:to>
            </anchor>
          </commentPr>
        </mc:Choice>
        <mc:Fallback/>
      </mc:AlternateContent>
    </comment>
    <comment ref="AP1" authorId="0">
      <text>
        <r>
          <rPr>
            <sz val="10"/>
            <rFont val="Arial"/>
            <family val="2"/>
          </rPr>
          <t xml:space="preserve">José Romeu Gonçalves:
</t>
        </r>
        <r>
          <rPr>
            <sz val="9"/>
            <color rgb="FF000000"/>
            <rFont val="Tahoma"/>
            <family val="2"/>
            <charset val="1"/>
          </rPr>
          <t xml:space="preserve">
A RTF/HTML to provide some instruction information on how to capture the Parameter value
To add an image: [[AttachMaterial.png]]. Just Like in ChecklistItem</t>
        </r>
      </text>
      <mc:AlternateContent>
        <mc:Choice Requires="v2">
          <commentPr autoFill="true" autoScale="false" colHidden="false" locked="false" rowHidden="false" textHAlign="justify" textVAlign="top">
            <anchor moveWithCells="false" sizeWithCells="false">
              <xdr:from>
                <xdr:col>42</xdr:col>
                <xdr:colOff>23</xdr:colOff>
                <xdr:row>0</xdr:row>
                <xdr:rowOff>0</xdr:rowOff>
              </xdr:from>
              <xdr:to>
                <xdr:col>43</xdr:col>
                <xdr:colOff>9</xdr:colOff>
                <xdr:row>10</xdr:row>
                <xdr:rowOff>11</xdr:rowOff>
              </xdr:to>
            </anchor>
          </commentPr>
        </mc:Choice>
        <mc:Fallback/>
      </mc:AlternateContent>
    </comment>
    <comment ref="AQ1" authorId="2">
      <text>
        <r>
          <rPr>
            <sz val="10"/>
            <rFont val="Arial"/>
            <family val="2"/>
          </rPr>
          <t xml:space="preserve">For Sample Key = List
Names separated by ;</t>
        </r>
      </text>
      <mc:AlternateContent>
        <mc:Choice Requires="v2">
          <commentPr autoFill="true" autoScale="false" colHidden="false" locked="false" rowHidden="false" textHAlign="justify" textVAlign="top">
            <anchor moveWithCells="false" sizeWithCells="false">
              <xdr:from>
                <xdr:col>43</xdr:col>
                <xdr:colOff>23</xdr:colOff>
                <xdr:row>0</xdr:row>
                <xdr:rowOff>0</xdr:rowOff>
              </xdr:from>
              <xdr:to>
                <xdr:col>44</xdr:col>
                <xdr:colOff>2</xdr:colOff>
                <xdr:row>3</xdr:row>
                <xdr:rowOff>6</xdr:rowOff>
              </xdr:to>
            </anchor>
          </commentPr>
        </mc:Choice>
        <mc:Fallback/>
      </mc:AlternateContent>
    </comment>
    <comment ref="AR1" authorId="2">
      <text>
        <r>
          <rPr>
            <sz val="10"/>
            <rFont val="Arial"/>
            <family val="2"/>
          </rPr>
          <t xml:space="preserve">Ricardo Cunha:
</t>
        </r>
        <r>
          <rPr>
            <sz val="9"/>
            <color rgb="FF000000"/>
            <rFont val="Tahoma"/>
            <family val="2"/>
            <charset val="1"/>
          </rPr>
          <t xml:space="preserve">
Names separated by ;</t>
        </r>
      </text>
      <mc:AlternateContent>
        <mc:Choice Requires="v2">
          <commentPr autoFill="true" autoScale="false" colHidden="false" locked="false" rowHidden="false" textHAlign="justify" textVAlign="top">
            <anchor moveWithCells="false" sizeWithCells="false">
              <xdr:from>
                <xdr:col>44</xdr:col>
                <xdr:colOff>23</xdr:colOff>
                <xdr:row>0</xdr:row>
                <xdr:rowOff>0</xdr:rowOff>
              </xdr:from>
              <xdr:to>
                <xdr:col>45</xdr:col>
                <xdr:colOff>39</xdr:colOff>
                <xdr:row>3</xdr:row>
                <xdr:rowOff>5</xdr:rowOff>
              </xdr:to>
            </anchor>
          </commentPr>
        </mc:Choice>
        <mc:Fallback/>
      </mc:AlternateContent>
    </comment>
  </commentList>
</comments>
</file>

<file path=xl/comments1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D1" authorId="0">
      <text>
        <r>
          <rPr>
            <sz val="10"/>
            <rFont val="Arial"/>
            <family val="2"/>
          </rPr>
          <t xml:space="preserve">Value Must belong to:
</t>
        </r>
        <r>
          <rPr>
            <sz val="9"/>
            <color rgb="FF000000"/>
            <rFont val="Tahoma"/>
            <family val="2"/>
            <charset val="1"/>
          </rPr>
          <t xml:space="preserve">LookupTable DataCollectionLimitSetType</t>
        </r>
      </text>
      <mc:AlternateContent>
        <mc:Choice Requires="v2">
          <commentPr autoFill="true" autoScale="false" colHidden="false" locked="false" rowHidden="false" textHAlign="justify" textVAlign="top">
            <anchor moveWithCells="false" sizeWithCells="false">
              <xdr:from>
                <xdr:col>3</xdr:col>
                <xdr:colOff>36</xdr:colOff>
                <xdr:row>0</xdr:row>
                <xdr:rowOff>0</xdr:rowOff>
              </xdr:from>
              <xdr:to>
                <xdr:col>5</xdr:col>
                <xdr:colOff>340</xdr:colOff>
                <xdr:row>3</xdr:row>
                <xdr:rowOff>8</xdr:rowOff>
              </xdr:to>
            </anchor>
          </commentPr>
        </mc:Choice>
        <mc:Fallback/>
      </mc:AlternateContent>
    </comment>
    <comment ref="F1" authorId="0">
      <text>
        <r>
          <rPr>
            <sz val="10"/>
            <rFont val="Arial"/>
            <family val="2"/>
          </rPr>
          <t xml:space="preserve">Value Must be:
</t>
        </r>
        <r>
          <rPr>
            <sz val="9"/>
            <color rgb="FF000000"/>
            <rFont val="Tahoma"/>
            <family val="2"/>
            <charset val="1"/>
          </rPr>
          <t xml:space="preserve">The Data Collection to which the Limit Set belongs</t>
        </r>
      </text>
      <mc:AlternateContent>
        <mc:Choice Requires="v2">
          <commentPr autoFill="true" autoScale="false" colHidden="false" locked="false" rowHidden="false" textHAlign="justify" textVAlign="top">
            <anchor moveWithCells="false" sizeWithCells="false">
              <xdr:from>
                <xdr:col>5</xdr:col>
                <xdr:colOff>296</xdr:colOff>
                <xdr:row>5</xdr:row>
                <xdr:rowOff>4</xdr:rowOff>
              </xdr:from>
              <xdr:to>
                <xdr:col>6</xdr:col>
                <xdr:colOff>100</xdr:colOff>
                <xdr:row>8</xdr:row>
                <xdr:rowOff>8</xdr:rowOff>
              </xdr:to>
            </anchor>
          </commentPr>
        </mc:Choice>
        <mc:Fallback/>
      </mc:AlternateContent>
    </comment>
    <comment ref="G1" authorId="0">
      <text>
        <r>
          <rPr>
            <sz val="10"/>
            <rFont val="Arial"/>
            <family val="2"/>
          </rPr>
          <t xml:space="preserve">Syntax:
</t>
        </r>
        <r>
          <rPr>
            <sz val="9"/>
            <color rgb="FF000000"/>
            <rFont val="Tahoma"/>
            <family val="2"/>
            <charset val="1"/>
          </rPr>
          <t xml:space="preserve">
Each parameter is delimited by a semi-colon (';')
When the text is 'Null' it means that there is no value
The decimal separator can be either '.' or ','
Format is:
Parameter[ParamName] OverrideParameterValidationRange[True] MinValue[10] MaxValue[20] LimitType[Absolute] LowerErrorLimit[0] LowerWarningLimit[1] Target[0] UpperWarningLimit[49] UpperErrorLimit[50] IncludeSampleLimits[false] Order[1]
LimitType can be 'Absolute' or 'Relative'
OverrideParameterValidationRange can be True or False
IncludeSampleLimits can be True or False </t>
        </r>
      </text>
      <mc:AlternateContent>
        <mc:Choice Requires="v2">
          <commentPr autoFill="true" autoScale="false" colHidden="false" locked="false" rowHidden="false" textHAlign="justify" textVAlign="top">
            <anchor moveWithCells="false" sizeWithCells="false">
              <xdr:from>
                <xdr:col>9</xdr:col>
                <xdr:colOff>8</xdr:colOff>
                <xdr:row>8</xdr:row>
                <xdr:rowOff>12</xdr:rowOff>
              </xdr:from>
              <xdr:to>
                <xdr:col>14</xdr:col>
                <xdr:colOff>52</xdr:colOff>
                <xdr:row>18</xdr:row>
                <xdr:rowOff>20</xdr:rowOff>
              </xdr:to>
            </anchor>
          </commentPr>
        </mc:Choice>
        <mc:Fallback/>
      </mc:AlternateContent>
    </comment>
  </commentList>
</comments>
</file>

<file path=xl/comments1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C1" authorId="0">
      <text>
        <r>
          <rPr>
            <sz val="10"/>
            <rFont val="Arial"/>
            <family val="2"/>
          </rPr>
          <t xml:space="preserve">Syntax:
</t>
        </r>
        <r>
          <rPr>
            <sz val="9"/>
            <color rgb="FF000000"/>
            <rFont val="Tahoma"/>
            <family val="2"/>
            <charset val="1"/>
          </rPr>
          <t xml:space="preserve">
Each Sample is delimited by a semi-colon (';')
When the text is 'Null' it means that there is no value
The decimal separator can be either '.' or ','
Format is:
SampleId[Sample Nº] LowerErrorLimit[0] LowerWarningLimit[1] Target[2] UpperWarningLimit[49] UpperErrorLimit[50]
</t>
        </r>
      </text>
      <mc:AlternateContent>
        <mc:Choice Requires="v2">
          <commentPr autoFill="true" autoScale="false" colHidden="false" locked="false" rowHidden="false" textHAlign="justify" textVAlign="top">
            <anchor moveWithCells="false" sizeWithCells="false">
              <xdr:from>
                <xdr:col>3</xdr:col>
                <xdr:colOff>0</xdr:colOff>
                <xdr:row>11</xdr:row>
                <xdr:rowOff>12</xdr:rowOff>
              </xdr:from>
              <xdr:to>
                <xdr:col>9</xdr:col>
                <xdr:colOff>472</xdr:colOff>
                <xdr:row>28</xdr:row>
                <xdr:rowOff>16</xdr:rowOff>
              </xdr:to>
            </anchor>
          </commentPr>
        </mc:Choice>
        <mc:Fallback/>
      </mc:AlternateContent>
    </comment>
  </commentList>
</comments>
</file>

<file path=xl/comments1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ChartType</t>
        </r>
      </text>
      <mc:AlternateContent>
        <mc:Choice Requires="v2">
          <commentPr autoFill="true" autoScale="false" colHidden="false" locked="false" rowHidden="false" textHAlign="justify" textVAlign="top">
            <anchor moveWithCells="false" sizeWithCells="false">
              <xdr:from>
                <xdr:col>1</xdr:col>
                <xdr:colOff>56</xdr:colOff>
                <xdr:row>2</xdr:row>
                <xdr:rowOff>8</xdr:rowOff>
              </xdr:from>
              <xdr:to>
                <xdr:col>4</xdr:col>
                <xdr:colOff>8</xdr:colOff>
                <xdr:row>4</xdr:row>
                <xdr:rowOff>4</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When a Chart is disabled it's not possible to post new data to the Chart</t>
        </r>
      </text>
      <mc:AlternateContent>
        <mc:Choice Requires="v2">
          <commentPr autoFill="true" autoScale="false" colHidden="false" locked="false" rowHidden="false" textHAlign="justify" textVAlign="top">
            <anchor moveWithCells="false" sizeWithCells="false">
              <xdr:from>
                <xdr:col>1</xdr:col>
                <xdr:colOff>36</xdr:colOff>
                <xdr:row>2</xdr:row>
                <xdr:rowOff>16</xdr:rowOff>
              </xdr:from>
              <xdr:to>
                <xdr:col>5</xdr:col>
                <xdr:colOff>8</xdr:colOff>
                <xdr:row>6</xdr:row>
                <xdr:rowOff>8</xdr:rowOff>
              </xdr:to>
            </anchor>
          </commentPr>
        </mc:Choice>
        <mc:Fallback/>
      </mc:AlternateContent>
    </comment>
    <comment ref="F1" authorId="1">
      <text>
        <r>
          <rPr>
            <sz val="10"/>
            <rFont val="Arial"/>
            <family val="2"/>
          </rPr>
          <t xml:space="preserve">Value Must be:
</t>
        </r>
        <r>
          <rPr>
            <sz val="9"/>
            <color rgb="FF000000"/>
            <rFont val="Tahoma"/>
            <family val="2"/>
            <charset val="1"/>
          </rPr>
          <t xml:space="preserve">Parameter to Monitor</t>
        </r>
      </text>
      <mc:AlternateContent>
        <mc:Choice Requires="v2">
          <commentPr autoFill="true" autoScale="false" colHidden="false" locked="false" rowHidden="false" textHAlign="justify" textVAlign="top">
            <anchor moveWithCells="false" sizeWithCells="false">
              <xdr:from>
                <xdr:col>3</xdr:col>
                <xdr:colOff>28</xdr:colOff>
                <xdr:row>2</xdr:row>
                <xdr:rowOff>8</xdr:rowOff>
              </xdr:from>
              <xdr:to>
                <xdr:col>5</xdr:col>
                <xdr:colOff>8</xdr:colOff>
                <xdr:row>4</xdr:row>
                <xdr:rowOff>19</xdr:rowOff>
              </xdr:to>
            </anchor>
          </commentPr>
        </mc:Choice>
        <mc:Fallback/>
      </mc:AlternateContent>
    </comment>
    <comment ref="G1" authorId="1">
      <text>
        <r>
          <rPr>
            <sz val="10"/>
            <rFont val="Arial"/>
            <family val="2"/>
          </rPr>
          <t xml:space="preserve">Possible Values:
</t>
        </r>
        <r>
          <rPr>
            <sz val="9"/>
            <color rgb="FF000000"/>
            <rFont val="Tahoma"/>
            <family val="2"/>
            <charset val="1"/>
          </rPr>
          <t xml:space="preserve">
 - AverageAndRange
 - AverageAndStandardDeviation
 - MedianAndRange
 - IndividualsAndMovingRange
 - FractionDefective
 - NumberDefective
 - NumberOfDefects
 - NumberOfDefectsPerUnit
For Chart type: FractionDefective or NumberDefective or NumberOfDefects or NumberOfDefectsPerUnit Parameter Type must be "Long"</t>
        </r>
      </text>
      <mc:AlternateContent>
        <mc:Choice Requires="v2">
          <commentPr autoFill="true" autoScale="false" colHidden="false" locked="false" rowHidden="false" textHAlign="justify" textVAlign="top">
            <anchor moveWithCells="false" sizeWithCells="false">
              <xdr:from>
                <xdr:col>8</xdr:col>
                <xdr:colOff>48</xdr:colOff>
                <xdr:row>10</xdr:row>
                <xdr:rowOff>12</xdr:rowOff>
              </xdr:from>
              <xdr:to>
                <xdr:col>10</xdr:col>
                <xdr:colOff>52</xdr:colOff>
                <xdr:row>21</xdr:row>
                <xdr:rowOff>8</xdr:rowOff>
              </xdr:to>
            </anchor>
          </commentPr>
        </mc:Choice>
        <mc:Fallback/>
      </mc:AlternateContent>
    </comment>
    <comment ref="H1" authorId="0">
      <text>
        <r>
          <rPr>
            <sz val="10"/>
            <rFont val="Arial"/>
            <family val="2"/>
          </rPr>
          <t xml:space="preserve">A Lookup Table to be taken as the names for the readings</t>
        </r>
      </text>
      <mc:AlternateContent>
        <mc:Choice Requires="v2">
          <commentPr autoFill="true" autoScale="false" colHidden="false" locked="false" rowHidden="false" textHAlign="justify" textVAlign="top">
            <anchor moveWithCells="false" sizeWithCells="false">
              <xdr:from>
                <xdr:col>6</xdr:col>
                <xdr:colOff>12</xdr:colOff>
                <xdr:row>4</xdr:row>
                <xdr:rowOff>4</xdr:rowOff>
              </xdr:from>
              <xdr:to>
                <xdr:col>7</xdr:col>
                <xdr:colOff>116</xdr:colOff>
                <xdr:row>6</xdr:row>
                <xdr:rowOff>4</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to terminate automatically logical charts for which there are no data points</t>
        </r>
      </text>
      <mc:AlternateContent>
        <mc:Choice Requires="v2">
          <commentPr autoFill="true" autoScale="false" colHidden="false" locked="false" rowHidden="false" textHAlign="justify" textVAlign="top">
            <anchor moveWithCells="false" sizeWithCells="false">
              <xdr:from>
                <xdr:col>7</xdr:col>
                <xdr:colOff>124</xdr:colOff>
                <xdr:row>3</xdr:row>
                <xdr:rowOff>0</xdr:rowOff>
              </xdr:from>
              <xdr:to>
                <xdr:col>8</xdr:col>
                <xdr:colOff>196</xdr:colOff>
                <xdr:row>6</xdr:row>
                <xdr:rowOff>8</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For Chart Type:
 - FractionDefective
 - NumberDefective
 - NumberOfDefects
 - NumberOfDefectsPerUnit</t>
        </r>
      </text>
      <mc:AlternateContent>
        <mc:Choice Requires="v2">
          <commentPr autoFill="true" autoScale="false" colHidden="false" locked="false" rowHidden="false" textHAlign="justify" textVAlign="top">
            <anchor moveWithCells="false" sizeWithCells="false">
              <xdr:from>
                <xdr:col>8</xdr:col>
                <xdr:colOff>184</xdr:colOff>
                <xdr:row>2</xdr:row>
                <xdr:rowOff>0</xdr:rowOff>
              </xdr:from>
              <xdr:to>
                <xdr:col>9</xdr:col>
                <xdr:colOff>88</xdr:colOff>
                <xdr:row>8</xdr:row>
                <xdr:rowOff>16</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For Chart Type:
 - FractionDefective
 - NumberOfDefectsPerUnit</t>
        </r>
      </text>
      <mc:AlternateContent>
        <mc:Choice Requires="v2">
          <commentPr autoFill="true" autoScale="false" colHidden="false" locked="false" rowHidden="false" textHAlign="justify" textVAlign="top">
            <anchor moveWithCells="false" sizeWithCells="false">
              <xdr:from>
                <xdr:col>9</xdr:col>
                <xdr:colOff>12</xdr:colOff>
                <xdr:row>3</xdr:row>
                <xdr:rowOff>16</xdr:rowOff>
              </xdr:from>
              <xdr:to>
                <xdr:col>10</xdr:col>
                <xdr:colOff>36</xdr:colOff>
                <xdr:row>8</xdr:row>
                <xdr:rowOff>12</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For Chart Type:
 - AverageAndRange
 - AverageAndStandardDeviation
 - MedianAndRange
 - IndividualsAndMovingRange
</t>
        </r>
      </text>
      <mc:AlternateContent>
        <mc:Choice Requires="v2">
          <commentPr autoFill="true" autoScale="false" colHidden="false" locked="false" rowHidden="false" textHAlign="justify" textVAlign="top">
            <anchor moveWithCells="false" sizeWithCells="false">
              <xdr:from>
                <xdr:col>11</xdr:col>
                <xdr:colOff>64</xdr:colOff>
                <xdr:row>2</xdr:row>
                <xdr:rowOff>12</xdr:rowOff>
              </xdr:from>
              <xdr:to>
                <xdr:col>12</xdr:col>
                <xdr:colOff>84</xdr:colOff>
                <xdr:row>9</xdr:row>
                <xdr:rowOff>8</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For Chart Type:
 - AverageAndRange
 - AverageAndStandardDeviation
 - MedianAndRange
 - IndividualsAndMovingRange
</t>
        </r>
      </text>
      <mc:AlternateContent>
        <mc:Choice Requires="v2">
          <commentPr autoFill="true" autoScale="false" colHidden="false" locked="false" rowHidden="false" textHAlign="justify" textVAlign="top">
            <anchor moveWithCells="false" sizeWithCells="false">
              <xdr:from>
                <xdr:col>11</xdr:col>
                <xdr:colOff>76</xdr:colOff>
                <xdr:row>3</xdr:row>
                <xdr:rowOff>4</xdr:rowOff>
              </xdr:from>
              <xdr:to>
                <xdr:col>12</xdr:col>
                <xdr:colOff>96</xdr:colOff>
                <xdr:row>9</xdr:row>
                <xdr:rowOff>19</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Learning Mode = the Chart begins without control limits and the limits are set and used automatically when the centerlines are recalculated)</t>
        </r>
      </text>
      <mc:AlternateContent>
        <mc:Choice Requires="v2">
          <commentPr autoFill="true" autoScale="false" colHidden="false" locked="false" rowHidden="false" textHAlign="justify" textVAlign="top">
            <anchor moveWithCells="false" sizeWithCells="false">
              <xdr:from>
                <xdr:col>15</xdr:col>
                <xdr:colOff>208</xdr:colOff>
                <xdr:row>2</xdr:row>
                <xdr:rowOff>16</xdr:rowOff>
              </xdr:from>
              <xdr:to>
                <xdr:col>17</xdr:col>
                <xdr:colOff>48</xdr:colOff>
                <xdr:row>6</xdr:row>
                <xdr:rowOff>19</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In hours</t>
        </r>
      </text>
      <mc:AlternateContent>
        <mc:Choice Requires="v2">
          <commentPr autoFill="true" autoScale="false" colHidden="false" locked="false" rowHidden="false" textHAlign="justify" textVAlign="top">
            <anchor moveWithCells="false" sizeWithCells="false">
              <xdr:from>
                <xdr:col>18</xdr:col>
                <xdr:colOff>0</xdr:colOff>
                <xdr:row>4</xdr:row>
                <xdr:rowOff>4</xdr:rowOff>
              </xdr:from>
              <xdr:to>
                <xdr:col>19</xdr:col>
                <xdr:colOff>-21</xdr:colOff>
                <xdr:row>6</xdr:row>
                <xdr:rowOff>16</xdr:rowOff>
              </xdr:to>
            </anchor>
          </commentPr>
        </mc:Choice>
        <mc:Fallback/>
      </mc:AlternateContent>
    </comment>
    <comment ref="U1" authorId="0">
      <text>
        <r>
          <rPr>
            <sz val="10"/>
            <rFont val="Arial"/>
            <family val="2"/>
          </rPr>
          <t xml:space="preserve">José Romeu Gonçalves:
</t>
        </r>
        <r>
          <rPr>
            <sz val="9"/>
            <color rgb="FF000000"/>
            <rFont val="Tahoma"/>
            <family val="2"/>
            <charset val="1"/>
          </rPr>
          <t xml:space="preserve">
If Product, ProductParameter (Or ProductGroupParameter must be defined).
Important Note: It's only possible to define the specification limits as Product if the Chart context information contains either the Product or the Product Group as keys</t>
        </r>
      </text>
      <mc:AlternateContent>
        <mc:Choice Requires="v2">
          <commentPr autoFill="true" autoScale="false" colHidden="false" locked="false" rowHidden="false" textHAlign="justify" textVAlign="top">
            <anchor moveWithCells="false" sizeWithCells="false">
              <xdr:from>
                <xdr:col>20</xdr:col>
                <xdr:colOff>88</xdr:colOff>
                <xdr:row>14</xdr:row>
                <xdr:rowOff>16</xdr:rowOff>
              </xdr:from>
              <xdr:to>
                <xdr:col>22</xdr:col>
                <xdr:colOff>72</xdr:colOff>
                <xdr:row>21</xdr:row>
                <xdr:rowOff>16</xdr:rowOff>
              </xdr:to>
            </anchor>
          </commentPr>
        </mc:Choice>
        <mc:Fallback/>
      </mc:AlternateContent>
    </comment>
    <comment ref="V1" authorId="0">
      <text>
        <r>
          <rPr>
            <sz val="10"/>
            <rFont val="Arial"/>
            <family val="2"/>
          </rPr>
          <t xml:space="preserve">José Romeu Gonçalves:
</t>
        </r>
        <r>
          <rPr>
            <sz val="9"/>
            <color rgb="FF000000"/>
            <rFont val="Tahoma"/>
            <family val="2"/>
            <charset val="1"/>
          </rPr>
          <t xml:space="preserve">
Spec Limit: The "voice" of the customer</t>
        </r>
      </text>
      <mc:AlternateContent>
        <mc:Choice Requires="v2">
          <commentPr autoFill="true" autoScale="false" colHidden="false" locked="false" rowHidden="false" textHAlign="justify" textVAlign="top">
            <anchor moveWithCells="false" sizeWithCells="false">
              <xdr:from>
                <xdr:col>20</xdr:col>
                <xdr:colOff>96</xdr:colOff>
                <xdr:row>2</xdr:row>
                <xdr:rowOff>8</xdr:rowOff>
              </xdr:from>
              <xdr:to>
                <xdr:col>21</xdr:col>
                <xdr:colOff>144</xdr:colOff>
                <xdr:row>5</xdr:row>
                <xdr:rowOff>4</xdr:rowOff>
              </xdr:to>
            </anchor>
          </commentPr>
        </mc:Choice>
        <mc:Fallback/>
      </mc:AlternateContent>
    </comment>
    <comment ref="W1" authorId="0">
      <text>
        <r>
          <rPr>
            <sz val="10"/>
            <rFont val="Arial"/>
            <family val="2"/>
          </rPr>
          <t xml:space="preserve">José Romeu Gonçalves:
</t>
        </r>
        <r>
          <rPr>
            <sz val="9"/>
            <color rgb="FF000000"/>
            <rFont val="Tahoma"/>
            <family val="2"/>
            <charset val="1"/>
          </rPr>
          <t xml:space="preserve">
Spec Limit: The "voice" of the customer</t>
        </r>
      </text>
      <mc:AlternateContent>
        <mc:Choice Requires="v2">
          <commentPr autoFill="true" autoScale="false" colHidden="false" locked="false" rowHidden="false" textHAlign="justify" textVAlign="top">
            <anchor moveWithCells="false" sizeWithCells="false">
              <xdr:from>
                <xdr:col>23</xdr:col>
                <xdr:colOff>16</xdr:colOff>
                <xdr:row>0</xdr:row>
                <xdr:rowOff>0</xdr:rowOff>
              </xdr:from>
              <xdr:to>
                <xdr:col>24</xdr:col>
                <xdr:colOff>80</xdr:colOff>
                <xdr:row>2</xdr:row>
                <xdr:rowOff>16</xdr:rowOff>
              </xdr:to>
            </anchor>
          </commentPr>
        </mc:Choice>
        <mc:Fallback/>
      </mc:AlternateContent>
    </comment>
    <comment ref="X1" authorId="0">
      <text>
        <r>
          <rPr>
            <sz val="10"/>
            <rFont val="Arial"/>
            <family val="2"/>
          </rPr>
          <t xml:space="preserve">José Romeu Gonçalves:
</t>
        </r>
        <r>
          <rPr>
            <sz val="9"/>
            <color rgb="FF000000"/>
            <rFont val="Tahoma"/>
            <family val="2"/>
            <charset val="1"/>
          </rPr>
          <t xml:space="preserve">
Spec Limit: The "voice" of the customer</t>
        </r>
      </text>
      <mc:AlternateContent>
        <mc:Choice Requires="v2">
          <commentPr autoFill="true" autoScale="false" colHidden="false" locked="false" rowHidden="false" textHAlign="justify" textVAlign="top">
            <anchor moveWithCells="false" sizeWithCells="false">
              <xdr:from>
                <xdr:col>24</xdr:col>
                <xdr:colOff>16</xdr:colOff>
                <xdr:row>0</xdr:row>
                <xdr:rowOff>0</xdr:rowOff>
              </xdr:from>
              <xdr:to>
                <xdr:col>25</xdr:col>
                <xdr:colOff>52</xdr:colOff>
                <xdr:row>2</xdr:row>
                <xdr:rowOff>16</xdr:rowOff>
              </xdr:to>
            </anchor>
          </commentPr>
        </mc:Choice>
        <mc:Fallback/>
      </mc:AlternateContent>
    </comment>
    <comment ref="Z1" authorId="0">
      <text>
        <r>
          <rPr>
            <sz val="10"/>
            <rFont val="Arial"/>
            <family val="2"/>
          </rPr>
          <t xml:space="preserve">José Romeu Gonçalves:
</t>
        </r>
        <r>
          <rPr>
            <sz val="9"/>
            <color rgb="FF000000"/>
            <rFont val="Tahoma"/>
            <family val="2"/>
            <charset val="1"/>
          </rPr>
          <t xml:space="preserve">
Control Limit = the "Voice" of the Process</t>
        </r>
      </text>
      <mc:AlternateContent>
        <mc:Choice Requires="v2">
          <commentPr autoFill="true" autoScale="false" colHidden="false" locked="false" rowHidden="false" textHAlign="justify" textVAlign="top">
            <anchor moveWithCells="false" sizeWithCells="false">
              <xdr:from>
                <xdr:col>24</xdr:col>
                <xdr:colOff>68</xdr:colOff>
                <xdr:row>2</xdr:row>
                <xdr:rowOff>0</xdr:rowOff>
              </xdr:from>
              <xdr:to>
                <xdr:col>25</xdr:col>
                <xdr:colOff>128</xdr:colOff>
                <xdr:row>4</xdr:row>
                <xdr:rowOff>12</xdr:rowOff>
              </xdr:to>
            </anchor>
          </commentPr>
        </mc:Choice>
        <mc:Fallback/>
      </mc:AlternateContent>
    </comment>
    <comment ref="AA1" authorId="0">
      <text>
        <r>
          <rPr>
            <sz val="10"/>
            <rFont val="Arial"/>
            <family val="2"/>
          </rPr>
          <t xml:space="preserve">José Romeu Gonçalves:
</t>
        </r>
        <r>
          <rPr>
            <sz val="9"/>
            <color rgb="FF000000"/>
            <rFont val="Tahoma"/>
            <family val="2"/>
            <charset val="1"/>
          </rPr>
          <t xml:space="preserve">
Control Limit = the "Voice" of the Process</t>
        </r>
      </text>
      <mc:AlternateContent>
        <mc:Choice Requires="v2">
          <commentPr autoFill="true" autoScale="false" colHidden="false" locked="false" rowHidden="false" textHAlign="justify" textVAlign="top">
            <anchor moveWithCells="false" sizeWithCells="false">
              <xdr:from>
                <xdr:col>27</xdr:col>
                <xdr:colOff>16</xdr:colOff>
                <xdr:row>0</xdr:row>
                <xdr:rowOff>0</xdr:rowOff>
              </xdr:from>
              <xdr:to>
                <xdr:col>28</xdr:col>
                <xdr:colOff>76</xdr:colOff>
                <xdr:row>2</xdr:row>
                <xdr:rowOff>12</xdr:rowOff>
              </xdr:to>
            </anchor>
          </commentPr>
        </mc:Choice>
        <mc:Fallback/>
      </mc:AlternateContent>
    </comment>
    <comment ref="AB1" authorId="0">
      <text>
        <r>
          <rPr>
            <sz val="10"/>
            <rFont val="Arial"/>
            <family val="2"/>
          </rPr>
          <t xml:space="preserve">José Romeu Gonçalves:
</t>
        </r>
        <r>
          <rPr>
            <sz val="9"/>
            <color rgb="FF000000"/>
            <rFont val="Tahoma"/>
            <family val="2"/>
            <charset val="1"/>
          </rPr>
          <t xml:space="preserve">
Control Limit = the "Voice" of the Process</t>
        </r>
      </text>
      <mc:AlternateContent>
        <mc:Choice Requires="v2">
          <commentPr autoFill="true" autoScale="false" colHidden="false" locked="false" rowHidden="false" textHAlign="justify" textVAlign="top">
            <anchor moveWithCells="false" sizeWithCells="false">
              <xdr:from>
                <xdr:col>28</xdr:col>
                <xdr:colOff>16</xdr:colOff>
                <xdr:row>0</xdr:row>
                <xdr:rowOff>0</xdr:rowOff>
              </xdr:from>
              <xdr:to>
                <xdr:col>29</xdr:col>
                <xdr:colOff>76</xdr:colOff>
                <xdr:row>2</xdr:row>
                <xdr:rowOff>12</xdr:rowOff>
              </xdr:to>
            </anchor>
          </commentPr>
        </mc:Choice>
        <mc:Fallback/>
      </mc:AlternateContent>
    </comment>
    <comment ref="AC1" authorId="0">
      <text>
        <r>
          <rPr>
            <sz val="10"/>
            <rFont val="Arial"/>
            <family val="2"/>
          </rPr>
          <t xml:space="preserve">José Romeu Gonçalves:
</t>
        </r>
        <r>
          <rPr>
            <sz val="9"/>
            <color rgb="FF000000"/>
            <rFont val="Tahoma"/>
            <family val="2"/>
            <charset val="1"/>
          </rPr>
          <t xml:space="preserve">
Control Limit = the "Voice" of the Process</t>
        </r>
      </text>
      <mc:AlternateContent>
        <mc:Choice Requires="v2">
          <commentPr autoFill="true" autoScale="false" colHidden="false" locked="false" rowHidden="false" textHAlign="justify" textVAlign="top">
            <anchor moveWithCells="false" sizeWithCells="false">
              <xdr:from>
                <xdr:col>29</xdr:col>
                <xdr:colOff>16</xdr:colOff>
                <xdr:row>0</xdr:row>
                <xdr:rowOff>0</xdr:rowOff>
              </xdr:from>
              <xdr:to>
                <xdr:col>30</xdr:col>
                <xdr:colOff>124</xdr:colOff>
                <xdr:row>2</xdr:row>
                <xdr:rowOff>12</xdr:rowOff>
              </xdr:to>
            </anchor>
          </commentPr>
        </mc:Choice>
        <mc:Fallback/>
      </mc:AlternateContent>
    </comment>
    <comment ref="AD1" authorId="0">
      <text>
        <r>
          <rPr>
            <sz val="10"/>
            <rFont val="Arial"/>
            <family val="2"/>
          </rPr>
          <t xml:space="preserve">José Romeu Gonçalves:
</t>
        </r>
        <r>
          <rPr>
            <sz val="9"/>
            <color rgb="FF000000"/>
            <rFont val="Tahoma"/>
            <family val="2"/>
            <charset val="1"/>
          </rPr>
          <t xml:space="preserve">
Control Limit = the "Voice" of the Process</t>
        </r>
      </text>
      <mc:AlternateContent>
        <mc:Choice Requires="v2">
          <commentPr autoFill="true" autoScale="false" colHidden="false" locked="false" rowHidden="false" textHAlign="justify" textVAlign="top">
            <anchor moveWithCells="false" sizeWithCells="false">
              <xdr:from>
                <xdr:col>30</xdr:col>
                <xdr:colOff>16</xdr:colOff>
                <xdr:row>0</xdr:row>
                <xdr:rowOff>0</xdr:rowOff>
              </xdr:from>
              <xdr:to>
                <xdr:col>31</xdr:col>
                <xdr:colOff>76</xdr:colOff>
                <xdr:row>2</xdr:row>
                <xdr:rowOff>12</xdr:rowOff>
              </xdr:to>
            </anchor>
          </commentPr>
        </mc:Choice>
        <mc:Fallback/>
      </mc:AlternateContent>
    </comment>
    <comment ref="AE1" authorId="0">
      <text>
        <r>
          <rPr>
            <sz val="10"/>
            <rFont val="Arial"/>
            <family val="2"/>
          </rPr>
          <t xml:space="preserve">José Romeu Gonçalves:
</t>
        </r>
        <r>
          <rPr>
            <sz val="9"/>
            <color rgb="FF000000"/>
            <rFont val="Tahoma"/>
            <family val="2"/>
            <charset val="1"/>
          </rPr>
          <t xml:space="preserve">
Control Limit = the "Voice" of the Process</t>
        </r>
      </text>
      <mc:AlternateContent>
        <mc:Choice Requires="v2">
          <commentPr autoFill="true" autoScale="false" colHidden="false" locked="false" rowHidden="false" textHAlign="justify" textVAlign="top">
            <anchor moveWithCells="false" sizeWithCells="false">
              <xdr:from>
                <xdr:col>31</xdr:col>
                <xdr:colOff>16</xdr:colOff>
                <xdr:row>0</xdr:row>
                <xdr:rowOff>0</xdr:rowOff>
              </xdr:from>
              <xdr:to>
                <xdr:col>32</xdr:col>
                <xdr:colOff>84</xdr:colOff>
                <xdr:row>2</xdr:row>
                <xdr:rowOff>12</xdr:rowOff>
              </xdr:to>
            </anchor>
          </commentPr>
        </mc:Choice>
        <mc:Fallback/>
      </mc:AlternateContent>
    </comment>
    <comment ref="AF1" authorId="0">
      <text>
        <r>
          <rPr>
            <sz val="10"/>
            <rFont val="Arial"/>
            <family val="2"/>
          </rPr>
          <t xml:space="preserve">If UseAutomaticControlLimits = True</t>
        </r>
      </text>
      <mc:AlternateContent>
        <mc:Choice Requires="v2">
          <commentPr autoFill="true" autoScale="false" colHidden="false" locked="false" rowHidden="false" textHAlign="justify" textVAlign="top">
            <anchor moveWithCells="false" sizeWithCells="false">
              <xdr:from>
                <xdr:col>30</xdr:col>
                <xdr:colOff>120</xdr:colOff>
                <xdr:row>4</xdr:row>
                <xdr:rowOff>0</xdr:rowOff>
              </xdr:from>
              <xdr:to>
                <xdr:col>31</xdr:col>
                <xdr:colOff>156</xdr:colOff>
                <xdr:row>5</xdr:row>
                <xdr:rowOff>4</xdr:rowOff>
              </xdr:to>
            </anchor>
          </commentPr>
        </mc:Choice>
        <mc:Fallback/>
      </mc:AlternateContent>
    </comment>
    <comment ref="AI1" authorId="0">
      <text>
        <r>
          <rPr>
            <sz val="10"/>
            <rFont val="Arial"/>
            <family val="2"/>
          </rPr>
          <t xml:space="preserve">José Romeu Gonçalves:
</t>
        </r>
        <r>
          <rPr>
            <sz val="9"/>
            <color rgb="FF000000"/>
            <rFont val="Tahoma"/>
            <family val="2"/>
            <charset val="1"/>
          </rPr>
          <t xml:space="preserve">
Note: it's possible to use dynamic date fields, such as Now and Today</t>
        </r>
      </text>
      <mc:AlternateContent>
        <mc:Choice Requires="v2">
          <commentPr autoFill="true" autoScale="false" colHidden="false" locked="false" rowHidden="false" textHAlign="justify" textVAlign="top">
            <anchor moveWithCells="false" sizeWithCells="false">
              <xdr:from>
                <xdr:col>33</xdr:col>
                <xdr:colOff>104</xdr:colOff>
                <xdr:row>2</xdr:row>
                <xdr:rowOff>12</xdr:rowOff>
              </xdr:from>
              <xdr:to>
                <xdr:col>34</xdr:col>
                <xdr:colOff>104</xdr:colOff>
                <xdr:row>6</xdr:row>
                <xdr:rowOff>4</xdr:rowOff>
              </xdr:to>
            </anchor>
          </commentPr>
        </mc:Choice>
        <mc:Fallback/>
      </mc:AlternateContent>
    </comment>
    <comment ref="AJ1" authorId="0">
      <text>
        <r>
          <rPr>
            <sz val="10"/>
            <rFont val="Arial"/>
            <family val="2"/>
          </rPr>
          <t xml:space="preserve">José Romeu Gonçalves:
</t>
        </r>
        <r>
          <rPr>
            <sz val="9"/>
            <color rgb="FF000000"/>
            <rFont val="Tahoma"/>
            <family val="2"/>
            <charset val="1"/>
          </rPr>
          <t xml:space="preserve">
Note: it's possible to use dynamic date fields, such as Now and Today</t>
        </r>
      </text>
      <mc:AlternateContent>
        <mc:Choice Requires="v2">
          <commentPr autoFill="true" autoScale="false" colHidden="false" locked="false" rowHidden="false" textHAlign="justify" textVAlign="top">
            <anchor moveWithCells="false" sizeWithCells="false">
              <xdr:from>
                <xdr:col>34</xdr:col>
                <xdr:colOff>48</xdr:colOff>
                <xdr:row>2</xdr:row>
                <xdr:rowOff>16</xdr:rowOff>
              </xdr:from>
              <xdr:to>
                <xdr:col>35</xdr:col>
                <xdr:colOff>132</xdr:colOff>
                <xdr:row>6</xdr:row>
                <xdr:rowOff>4</xdr:rowOff>
              </xdr:to>
            </anchor>
          </commentPr>
        </mc:Choice>
        <mc:Fallback/>
      </mc:AlternateContent>
    </comment>
    <comment ref="AW1" authorId="0">
      <text>
        <r>
          <rPr>
            <sz val="10"/>
            <rFont val="Arial"/>
            <family val="2"/>
          </rPr>
          <t xml:space="preserve">A lookup table to select codes to be used when commenting a data point without violations</t>
        </r>
      </text>
      <mc:AlternateContent>
        <mc:Choice Requires="v2">
          <commentPr autoFill="true" autoScale="false" colHidden="false" locked="false" rowHidden="false" textHAlign="justify" textVAlign="top">
            <anchor moveWithCells="false" sizeWithCells="false">
              <xdr:from>
                <xdr:col>47</xdr:col>
                <xdr:colOff>100</xdr:colOff>
                <xdr:row>3</xdr:row>
                <xdr:rowOff>8</xdr:rowOff>
              </xdr:from>
              <xdr:to>
                <xdr:col>48</xdr:col>
                <xdr:colOff>176</xdr:colOff>
                <xdr:row>5</xdr:row>
                <xdr:rowOff>19</xdr:rowOff>
              </xdr:to>
            </anchor>
          </commentPr>
        </mc:Choice>
        <mc:Fallback/>
      </mc:AlternateContent>
    </comment>
    <comment ref="AX1" authorId="0">
      <text>
        <r>
          <rPr>
            <sz val="10"/>
            <rFont val="Arial"/>
            <family val="2"/>
          </rPr>
          <t xml:space="preserve">A lookup table to select codes to be used when commenting a data point with violations</t>
        </r>
      </text>
      <mc:AlternateContent>
        <mc:Choice Requires="v2">
          <commentPr autoFill="true" autoScale="false" colHidden="false" locked="false" rowHidden="false" textHAlign="justify" textVAlign="top">
            <anchor moveWithCells="false" sizeWithCells="false">
              <xdr:from>
                <xdr:col>49</xdr:col>
                <xdr:colOff>24</xdr:colOff>
                <xdr:row>3</xdr:row>
                <xdr:rowOff>16</xdr:rowOff>
              </xdr:from>
              <xdr:to>
                <xdr:col>50</xdr:col>
                <xdr:colOff>-25</xdr:colOff>
                <xdr:row>6</xdr:row>
                <xdr:rowOff>4</xdr:rowOff>
              </xdr:to>
            </anchor>
          </commentPr>
        </mc:Choice>
        <mc:Fallback/>
      </mc:AlternateContent>
    </comment>
    <comment ref="AY1" authorId="1">
      <text>
        <r>
          <rPr>
            <sz val="10"/>
            <rFont val="Arial"/>
            <family val="2"/>
          </rPr>
          <t xml:space="preserve">Syntax:
</t>
        </r>
        <r>
          <rPr>
            <sz val="9"/>
            <color rgb="FF000000"/>
            <rFont val="Tahoma"/>
            <family val="2"/>
            <charset val="1"/>
          </rPr>
          <t xml:space="preserve">
Each item is delimeted by a semi-colon ';'
format of each item is like:
KeyOrder[1] Name[Resource] Description[Resource] Type[Object] Source[Resource]
Where 
 - Type=Object, FreeText or LookupTable
 - KeyOrder (One or zero if non-key)</t>
        </r>
      </text>
      <mc:AlternateContent>
        <mc:Choice Requires="v2">
          <commentPr autoFill="true" autoScale="false" colHidden="false" locked="false" rowHidden="false" textHAlign="justify" textVAlign="top">
            <anchor moveWithCells="false" sizeWithCells="false">
              <xdr:from>
                <xdr:col>49</xdr:col>
                <xdr:colOff>24</xdr:colOff>
                <xdr:row>4</xdr:row>
                <xdr:rowOff>4</xdr:rowOff>
              </xdr:from>
              <xdr:to>
                <xdr:col>52</xdr:col>
                <xdr:colOff>24</xdr:colOff>
                <xdr:row>10</xdr:row>
                <xdr:rowOff>16</xdr:rowOff>
              </xdr:to>
            </anchor>
          </commentPr>
        </mc:Choice>
        <mc:Fallback/>
      </mc:AlternateContent>
    </comment>
    <comment ref="AZ1" authorId="0">
      <text>
        <r>
          <rPr>
            <sz val="10"/>
            <rFont val="Arial"/>
            <family val="2"/>
          </rPr>
          <t xml:space="preserve">José Romeu Gonçalves:
</t>
        </r>
        <r>
          <rPr>
            <sz val="9"/>
            <color rgb="FF000000"/>
            <rFont val="Tahoma"/>
            <family val="2"/>
            <charset val="1"/>
          </rPr>
          <t xml:space="preserve">
Allow user to MANUALLY triggered protocols</t>
        </r>
      </text>
      <mc:AlternateContent>
        <mc:Choice Requires="v2">
          <commentPr autoFill="true" autoScale="false" colHidden="false" locked="false" rowHidden="false" textHAlign="justify" textVAlign="top">
            <anchor moveWithCells="false" sizeWithCells="false">
              <xdr:from>
                <xdr:col>49</xdr:col>
                <xdr:colOff>24</xdr:colOff>
                <xdr:row>2</xdr:row>
                <xdr:rowOff>16</xdr:rowOff>
              </xdr:from>
              <xdr:to>
                <xdr:col>50</xdr:col>
                <xdr:colOff>-37</xdr:colOff>
                <xdr:row>6</xdr:row>
                <xdr:rowOff>4</xdr:rowOff>
              </xdr:to>
            </anchor>
          </commentPr>
        </mc:Choice>
        <mc:Fallback/>
      </mc:AlternateContent>
    </comment>
    <comment ref="BA1" authorId="1">
      <text>
        <r>
          <rPr>
            <sz val="10"/>
            <rFont val="Arial"/>
            <family val="2"/>
          </rPr>
          <t xml:space="preserve">Syntax:
</t>
        </r>
        <r>
          <rPr>
            <sz val="9"/>
            <color rgb="FF000000"/>
            <rFont val="Tahoma"/>
            <family val="2"/>
            <charset val="1"/>
          </rPr>
          <t xml:space="preserve">
Each item is delimeted by a semi-colon ';'
format of each item is like:
Scope[Scope] Rule[RuleName] Protocol[ProtocolName] Action[ActionName]
</t>
        </r>
        <r>
          <rPr>
            <b val="true"/>
            <u val="single"/>
            <sz val="9"/>
            <color rgb="FF000000"/>
            <rFont val="Tahoma"/>
            <family val="2"/>
            <charset val="1"/>
          </rPr>
          <t xml:space="preserve">Scope:</t>
        </r>
        <r>
          <rPr>
            <sz val="9"/>
            <color rgb="FF000000"/>
            <rFont val="Tahoma"/>
            <family val="2"/>
            <charset val="1"/>
          </rPr>
          <t xml:space="preserve"> Indicator1 or Indicator2
</t>
        </r>
        <r>
          <rPr>
            <b val="true"/>
            <u val="single"/>
            <sz val="9"/>
            <color rgb="FF000000"/>
            <rFont val="Tahoma"/>
            <family val="2"/>
            <charset val="1"/>
          </rPr>
          <t xml:space="preserve">Rule:
</t>
        </r>
        <r>
          <rPr>
            <sz val="9"/>
            <color rgb="FF000000"/>
            <rFont val="Tahoma"/>
            <family val="2"/>
            <charset val="1"/>
          </rPr>
          <t xml:space="preserve">OutOfSpec
Nelson1
Nelson2
Nelson3
Nelson4
Nelson5
Nelson6
Nelson7
Nelson8
WesternElectric1
WesternElectric2
WesternElectric3 
WesternElectric4
</t>
        </r>
        <r>
          <rPr>
            <b val="true"/>
            <u val="single"/>
            <sz val="9"/>
            <color rgb="FF000000"/>
            <rFont val="Tahoma"/>
            <family val="2"/>
            <charset val="1"/>
          </rPr>
          <t xml:space="preserve">Protocol </t>
        </r>
        <r>
          <rPr>
            <sz val="9"/>
            <color rgb="FF000000"/>
            <rFont val="Tahoma"/>
            <family val="2"/>
            <charset val="1"/>
          </rPr>
          <t xml:space="preserve">can be null
</t>
        </r>
        <r>
          <rPr>
            <b val="true"/>
            <u val="single"/>
            <sz val="9"/>
            <color rgb="FF000000"/>
            <rFont val="Tahoma"/>
            <family val="2"/>
            <charset val="1"/>
          </rPr>
          <t xml:space="preserve">Action:</t>
        </r>
        <r>
          <rPr>
            <sz val="9"/>
            <color rgb="FF000000"/>
            <rFont val="Tahoma"/>
            <family val="2"/>
            <charset val="1"/>
          </rPr>
          <t xml:space="preserve"> An existing Action(Scope SPC Action). Can be Null
</t>
        </r>
      </text>
      <mc:AlternateContent>
        <mc:Choice Requires="v2">
          <commentPr autoFill="true" autoScale="false" colHidden="false" locked="false" rowHidden="false" textHAlign="justify" textVAlign="top">
            <anchor moveWithCells="false" sizeWithCells="false">
              <xdr:from>
                <xdr:col>49</xdr:col>
                <xdr:colOff>24</xdr:colOff>
                <xdr:row>2</xdr:row>
                <xdr:rowOff>4</xdr:rowOff>
              </xdr:from>
              <xdr:to>
                <xdr:col>51</xdr:col>
                <xdr:colOff>172</xdr:colOff>
                <xdr:row>24</xdr:row>
                <xdr:rowOff>4</xdr:rowOff>
              </xdr:to>
            </anchor>
          </commentPr>
        </mc:Choice>
        <mc:Fallback/>
      </mc:AlternateContent>
    </comment>
  </commentList>
</comments>
</file>

<file path=xl/comments1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Luís Pinho</author>
  </authors>
  <commentList>
    <comment ref="A1" authorId="0">
      <text>
        <r>
          <rPr>
            <sz val="10"/>
            <rFont val="Arial"/>
            <family val="2"/>
          </rPr>
          <t xml:space="preserve">José Romeu Gonçalves:
</t>
        </r>
        <r>
          <rPr>
            <sz val="9"/>
            <color rgb="FF000000"/>
            <rFont val="Tahoma"/>
            <family val="2"/>
            <charset val="1"/>
          </rPr>
          <t xml:space="preserve">
An Existing Chart</t>
        </r>
      </text>
      <mc:AlternateContent>
        <mc:Choice Requires="v2">
          <commentPr autoFill="true" autoScale="false" colHidden="false" locked="false" rowHidden="false" textHAlign="justify" textVAlign="top">
            <anchor moveWithCells="false" sizeWithCells="false">
              <xdr:from>
                <xdr:col>1</xdr:col>
                <xdr:colOff>16</xdr:colOff>
                <xdr:row>5</xdr:row>
                <xdr:rowOff>0</xdr:rowOff>
              </xdr:from>
              <xdr:to>
                <xdr:col>3</xdr:col>
                <xdr:colOff>52</xdr:colOff>
                <xdr:row>7</xdr:row>
                <xdr:rowOff>8</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Logicalchart Name</t>
        </r>
      </text>
      <mc:AlternateContent>
        <mc:Choice Requires="v2">
          <commentPr autoFill="true" autoScale="false" colHidden="false" locked="false" rowHidden="false" textHAlign="justify" textVAlign="top">
            <anchor moveWithCells="false" sizeWithCells="false">
              <xdr:from>
                <xdr:col>1</xdr:col>
                <xdr:colOff>12</xdr:colOff>
                <xdr:row>3</xdr:row>
                <xdr:rowOff>8</xdr:rowOff>
              </xdr:from>
              <xdr:to>
                <xdr:col>3</xdr:col>
                <xdr:colOff>44</xdr:colOff>
                <xdr:row>6</xdr:row>
                <xdr:rowOff>4</xdr:rowOff>
              </xdr:to>
            </anchor>
          </commentPr>
        </mc:Choice>
        <mc:Fallback/>
      </mc:AlternateContent>
    </comment>
    <comment ref="C1" authorId="1">
      <text>
        <r>
          <rPr>
            <sz val="10"/>
            <rFont val="Arial"/>
            <family val="2"/>
          </rPr>
          <t xml:space="preserve">The Context defined in Keys separated by ;</t>
        </r>
      </text>
      <mc:AlternateContent>
        <mc:Choice Requires="v2">
          <commentPr autoFill="true" autoScale="false" colHidden="false" locked="false" rowHidden="false" textHAlign="justify" textVAlign="top">
            <anchor moveWithCells="false" sizeWithCells="false">
              <xdr:from>
                <xdr:col>2</xdr:col>
                <xdr:colOff>76</xdr:colOff>
                <xdr:row>4</xdr:row>
                <xdr:rowOff>8</xdr:rowOff>
              </xdr:from>
              <xdr:to>
                <xdr:col>4</xdr:col>
                <xdr:colOff>52</xdr:colOff>
                <xdr:row>6</xdr:row>
                <xdr:rowOff>12</xdr:rowOff>
              </xdr:to>
            </anchor>
          </commentPr>
        </mc:Choice>
        <mc:Fallback/>
      </mc:AlternateContent>
    </comment>
    <comment ref="S1" authorId="0">
      <text>
        <r>
          <rPr>
            <sz val="10"/>
            <rFont val="Arial"/>
            <family val="2"/>
          </rPr>
          <t xml:space="preserve">If controlLimit is automatic
</t>
        </r>
      </text>
      <mc:AlternateContent>
        <mc:Choice Requires="v2">
          <commentPr autoFill="true" autoScale="false" colHidden="false" locked="false" rowHidden="false" textHAlign="justify" textVAlign="top">
            <anchor moveWithCells="false" sizeWithCells="false">
              <xdr:from>
                <xdr:col>18</xdr:col>
                <xdr:colOff>48</xdr:colOff>
                <xdr:row>2</xdr:row>
                <xdr:rowOff>8</xdr:rowOff>
              </xdr:from>
              <xdr:to>
                <xdr:col>19</xdr:col>
                <xdr:colOff>84</xdr:colOff>
                <xdr:row>3</xdr:row>
                <xdr:rowOff>16</xdr:rowOff>
              </xdr:to>
            </anchor>
          </commentPr>
        </mc:Choice>
        <mc:Fallback/>
      </mc:AlternateContent>
    </comment>
  </commentList>
</comments>
</file>

<file path=xl/comments1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LookupTable BOMType</t>
        </r>
      </text>
      <mc:AlternateContent>
        <mc:Choice Requires="v2">
          <commentPr autoFill="true" autoScale="false" colHidden="false" locked="false" rowHidden="false" textHAlign="justify" textVAlign="top">
            <anchor moveWithCells="false" sizeWithCells="false">
              <xdr:from>
                <xdr:col>1</xdr:col>
                <xdr:colOff>16</xdr:colOff>
                <xdr:row>4</xdr:row>
                <xdr:rowOff>4</xdr:rowOff>
              </xdr:from>
              <xdr:to>
                <xdr:col>3</xdr:col>
                <xdr:colOff>60</xdr:colOff>
                <xdr:row>6</xdr:row>
                <xdr:rowOff>16</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 Material: For Material assemble - disassemble
- Parts: To be used in a maintenance Plan
- Durables: For Resource Durable
- WeighAndDispense: To be used for WeighAndDispense Process</t>
        </r>
      </text>
      <mc:AlternateContent>
        <mc:Choice Requires="v2">
          <commentPr autoFill="true" autoScale="false" colHidden="false" locked="false" rowHidden="false" textHAlign="justify" textVAlign="top">
            <anchor moveWithCells="false" sizeWithCells="false">
              <xdr:from>
                <xdr:col>0</xdr:col>
                <xdr:colOff>324</xdr:colOff>
                <xdr:row>1</xdr:row>
                <xdr:rowOff>8</xdr:rowOff>
              </xdr:from>
              <xdr:to>
                <xdr:col>6</xdr:col>
                <xdr:colOff>72</xdr:colOff>
                <xdr:row>6</xdr:row>
                <xdr:rowOff>8</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From Units Lookup Table. 
The units will be matched against the Material primary or secondary units to determine on which quantity the assemble will take place.</t>
        </r>
      </text>
      <mc:AlternateContent>
        <mc:Choice Requires="v2">
          <commentPr autoFill="true" autoScale="false" colHidden="false" locked="false" rowHidden="false" textHAlign="justify" textVAlign="top">
            <anchor moveWithCells="false" sizeWithCells="false">
              <xdr:from>
                <xdr:col>0</xdr:col>
                <xdr:colOff>400</xdr:colOff>
                <xdr:row>7</xdr:row>
                <xdr:rowOff>8</xdr:rowOff>
              </xdr:from>
              <xdr:to>
                <xdr:col>6</xdr:col>
                <xdr:colOff>4</xdr:colOff>
                <xdr:row>12</xdr:row>
                <xdr:rowOff>12</xdr:rowOff>
              </xdr:to>
            </anchor>
          </commentPr>
        </mc:Choice>
        <mc:Fallback/>
      </mc:AlternateContent>
    </comment>
    <comment ref="J1" authorId="0">
      <text>
        <r>
          <rPr>
            <sz val="10"/>
            <rFont val="Arial"/>
            <family val="2"/>
          </rPr>
          <t xml:space="preserve">A Printable Document of Scope WeightAndDispenseLabel</t>
        </r>
      </text>
      <mc:AlternateContent>
        <mc:Choice Requires="v2">
          <commentPr autoFill="true" autoScale="false" colHidden="false" locked="false" rowHidden="false" textHAlign="justify" textVAlign="top">
            <anchor moveWithCells="false" sizeWithCells="false">
              <xdr:from>
                <xdr:col>6</xdr:col>
                <xdr:colOff>160</xdr:colOff>
                <xdr:row>8</xdr:row>
                <xdr:rowOff>4</xdr:rowOff>
              </xdr:from>
              <xdr:to>
                <xdr:col>9</xdr:col>
                <xdr:colOff>32</xdr:colOff>
                <xdr:row>10</xdr:row>
                <xdr:rowOff>4</xdr:rowOff>
              </xdr:to>
            </anchor>
          </commentPr>
        </mc:Choice>
        <mc:Fallback/>
      </mc:AlternateContent>
    </comment>
    <comment ref="K1" authorId="0">
      <text>
        <r>
          <rPr>
            <sz val="10"/>
            <rFont val="Arial"/>
            <family val="2"/>
          </rPr>
          <t xml:space="preserve">In case of a BOM of scope Weigh and Dispense, whether the formula is expressed in absolute or relative (percentage)
</t>
        </r>
      </text>
      <mc:AlternateContent>
        <mc:Choice Requires="v2">
          <commentPr autoFill="true" autoScale="false" colHidden="false" locked="false" rowHidden="false" textHAlign="justify" textVAlign="top">
            <anchor moveWithCells="false" sizeWithCells="false">
              <xdr:from>
                <xdr:col>6</xdr:col>
                <xdr:colOff>44</xdr:colOff>
                <xdr:row>4</xdr:row>
                <xdr:rowOff>4</xdr:rowOff>
              </xdr:from>
              <xdr:to>
                <xdr:col>8</xdr:col>
                <xdr:colOff>64</xdr:colOff>
                <xdr:row>6</xdr:row>
                <xdr:rowOff>20</xdr:rowOff>
              </xdr:to>
            </anchor>
          </commentPr>
        </mc:Choice>
        <mc:Fallback/>
      </mc:AlternateContent>
    </comment>
  </commentList>
</comments>
</file>

<file path=xl/comments1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E1" authorId="0">
      <text>
        <r>
          <rPr>
            <sz val="10"/>
            <rFont val="Arial"/>
            <family val="2"/>
          </rPr>
          <t xml:space="preserve">José Romeu Gonçalves:
</t>
        </r>
        <r>
          <rPr>
            <sz val="9"/>
            <color rgb="FF000000"/>
            <rFont val="Tahoma"/>
            <family val="2"/>
            <charset val="1"/>
          </rPr>
          <t xml:space="preserve">
The lower tolerance is defined as a percentage of quantity if the mode is Relative, or as an absolute value if the mode is Absolute</t>
        </r>
      </text>
      <mc:AlternateContent>
        <mc:Choice Requires="v2">
          <commentPr autoFill="true" autoScale="false" colHidden="false" locked="false" rowHidden="false" textHAlign="justify" textVAlign="top">
            <anchor moveWithCells="false" sizeWithCells="false">
              <xdr:from>
                <xdr:col>2</xdr:col>
                <xdr:colOff>140</xdr:colOff>
                <xdr:row>4</xdr:row>
                <xdr:rowOff>0</xdr:rowOff>
              </xdr:from>
              <xdr:to>
                <xdr:col>6</xdr:col>
                <xdr:colOff>28</xdr:colOff>
                <xdr:row>8</xdr:row>
                <xdr:rowOff>4</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Quantity to make one unit of the target Product</t>
        </r>
      </text>
      <mc:AlternateContent>
        <mc:Choice Requires="v2">
          <commentPr autoFill="true" autoScale="false" colHidden="false" locked="false" rowHidden="false" textHAlign="justify" textVAlign="top">
            <anchor moveWithCells="false" sizeWithCells="false">
              <xdr:from>
                <xdr:col>2</xdr:col>
                <xdr:colOff>120</xdr:colOff>
                <xdr:row>2</xdr:row>
                <xdr:rowOff>16</xdr:rowOff>
              </xdr:from>
              <xdr:to>
                <xdr:col>6</xdr:col>
                <xdr:colOff>36</xdr:colOff>
                <xdr:row>6</xdr:row>
                <xdr:rowOff>8</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The upper tolerance is defined as a percentage of quantity if the mode is Relative, or as an absolute value if the mode is Absolute.</t>
        </r>
      </text>
      <mc:AlternateContent>
        <mc:Choice Requires="v2">
          <commentPr autoFill="true" autoScale="false" colHidden="false" locked="false" rowHidden="false" textHAlign="justify" textVAlign="top">
            <anchor moveWithCells="false" sizeWithCells="false">
              <xdr:from>
                <xdr:col>2</xdr:col>
                <xdr:colOff>116</xdr:colOff>
                <xdr:row>3</xdr:row>
                <xdr:rowOff>0</xdr:rowOff>
              </xdr:from>
              <xdr:to>
                <xdr:col>6</xdr:col>
                <xdr:colOff>100</xdr:colOff>
                <xdr:row>6</xdr:row>
                <xdr:rowOff>20</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Source Material unit. Must Exist in Units LookupTable</t>
        </r>
      </text>
      <mc:AlternateContent>
        <mc:Choice Requires="v2">
          <commentPr autoFill="true" autoScale="false" colHidden="false" locked="false" rowHidden="false" textHAlign="justify" textVAlign="top">
            <anchor moveWithCells="false" sizeWithCells="false">
              <xdr:from>
                <xdr:col>3</xdr:col>
                <xdr:colOff>52</xdr:colOff>
                <xdr:row>2</xdr:row>
                <xdr:rowOff>8</xdr:rowOff>
              </xdr:from>
              <xdr:to>
                <xdr:col>6</xdr:col>
                <xdr:colOff>68</xdr:colOff>
                <xdr:row>5</xdr:row>
                <xdr:rowOff>16</xdr:rowOff>
              </xdr:to>
            </anchor>
          </commentPr>
        </mc:Choice>
        <mc:Fallback/>
      </mc:AlternateContent>
    </comment>
    <comment ref="I1" authorId="1">
      <text>
        <r>
          <rPr>
            <sz val="10"/>
            <rFont val="Arial"/>
            <family val="2"/>
          </rPr>
          <t xml:space="preserve">The Step where the source Product must reside (optional if scope is Parts)</t>
        </r>
      </text>
      <mc:AlternateContent>
        <mc:Choice Requires="v2">
          <commentPr autoFill="true" autoScale="false" colHidden="false" locked="false" rowHidden="false" textHAlign="justify" textVAlign="top">
            <anchor moveWithCells="false" sizeWithCells="false">
              <xdr:from>
                <xdr:col>6</xdr:col>
                <xdr:colOff>48</xdr:colOff>
                <xdr:row>4</xdr:row>
                <xdr:rowOff>16</xdr:rowOff>
              </xdr:from>
              <xdr:to>
                <xdr:col>8</xdr:col>
                <xdr:colOff>96</xdr:colOff>
                <xdr:row>6</xdr:row>
                <xdr:rowOff>20</xdr:rowOff>
              </xdr:to>
            </anchor>
          </commentPr>
        </mc:Choice>
        <mc:Fallback/>
      </mc:AlternateContent>
    </comment>
    <comment ref="K1" authorId="0">
      <text>
        <r>
          <rPr>
            <sz val="10"/>
            <rFont val="Arial"/>
            <family val="2"/>
          </rPr>
          <t xml:space="preserve">For Scope Material and Durable</t>
        </r>
      </text>
      <mc:AlternateContent>
        <mc:Choice Requires="v2">
          <commentPr autoFill="true" autoScale="false" colHidden="false" locked="false" rowHidden="false" textHAlign="justify" textVAlign="top">
            <anchor moveWithCells="false" sizeWithCells="false">
              <xdr:from>
                <xdr:col>9</xdr:col>
                <xdr:colOff>24</xdr:colOff>
                <xdr:row>3</xdr:row>
                <xdr:rowOff>8</xdr:rowOff>
              </xdr:from>
              <xdr:to>
                <xdr:col>11</xdr:col>
                <xdr:colOff>32</xdr:colOff>
                <xdr:row>4</xdr:row>
                <xdr:rowOff>16</xdr:rowOff>
              </xdr:to>
            </anchor>
          </commentPr>
        </mc:Choice>
        <mc:Fallback/>
      </mc:AlternateContent>
    </comment>
    <comment ref="M1" authorId="0">
      <text>
        <r>
          <rPr>
            <sz val="10"/>
            <rFont val="Arial"/>
            <family val="2"/>
          </rPr>
          <t xml:space="preserve">The Step where the consumption must take place
For Scope WeighAndDispense and Material (AssembleStep)
For Scope Durable (UsageStep)</t>
        </r>
      </text>
      <mc:AlternateContent>
        <mc:Choice Requires="v2">
          <commentPr autoFill="true" autoScale="false" colHidden="false" locked="false" rowHidden="false" textHAlign="justify" textVAlign="top">
            <anchor moveWithCells="false" sizeWithCells="false">
              <xdr:from>
                <xdr:col>3</xdr:col>
                <xdr:colOff>28</xdr:colOff>
                <xdr:row>1</xdr:row>
                <xdr:rowOff>16</xdr:rowOff>
              </xdr:from>
              <xdr:to>
                <xdr:col>7</xdr:col>
                <xdr:colOff>41</xdr:colOff>
                <xdr:row>8</xdr:row>
                <xdr:rowOff>16</xdr:rowOff>
              </xdr:to>
            </anchor>
          </commentPr>
        </mc:Choice>
        <mc:Fallback/>
      </mc:AlternateContent>
    </comment>
    <comment ref="O1" authorId="0">
      <text>
        <r>
          <rPr>
            <sz val="10"/>
            <rFont val="Arial"/>
            <family val="2"/>
          </rPr>
          <t xml:space="preserve">For Scope Durable and Par</t>
        </r>
        <r>
          <rPr>
            <b val="true"/>
            <sz val="9"/>
            <color rgb="FF000000"/>
            <rFont val="Tahoma"/>
            <family val="2"/>
            <charset val="1"/>
          </rPr>
          <t xml:space="preserve">t
</t>
        </r>
      </text>
      <mc:AlternateContent>
        <mc:Choice Requires="v2">
          <commentPr autoFill="true" autoScale="false" colHidden="false" locked="false" rowHidden="false" textHAlign="justify" textVAlign="top">
            <anchor moveWithCells="false" sizeWithCells="false">
              <xdr:from>
                <xdr:col>12</xdr:col>
                <xdr:colOff>76</xdr:colOff>
                <xdr:row>3</xdr:row>
                <xdr:rowOff>16</xdr:rowOff>
              </xdr:from>
              <xdr:to>
                <xdr:col>13</xdr:col>
                <xdr:colOff>-178</xdr:colOff>
                <xdr:row>4</xdr:row>
                <xdr:rowOff>20</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
reference Products are not consumed, they are used for display purposes only</t>
        </r>
      </text>
      <mc:AlternateContent>
        <mc:Choice Requires="v2">
          <commentPr autoFill="true" autoScale="false" colHidden="false" locked="false" rowHidden="false" textHAlign="justify" textVAlign="top">
            <anchor moveWithCells="false" sizeWithCells="false">
              <xdr:from>
                <xdr:col>16</xdr:col>
                <xdr:colOff>48</xdr:colOff>
                <xdr:row>6</xdr:row>
                <xdr:rowOff>8</xdr:rowOff>
              </xdr:from>
              <xdr:to>
                <xdr:col>17</xdr:col>
                <xdr:colOff>-76</xdr:colOff>
                <xdr:row>9</xdr:row>
                <xdr:rowOff>16</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Product mix of the source Product and substitute Products in any combination. If this is not set, only one Product (source or substitute) can be used.</t>
        </r>
      </text>
      <mc:AlternateContent>
        <mc:Choice Requires="v2">
          <commentPr autoFill="true" autoScale="false" colHidden="false" locked="false" rowHidden="false" textHAlign="justify" textVAlign="top">
            <anchor moveWithCells="false" sizeWithCells="false">
              <xdr:from>
                <xdr:col>10</xdr:col>
                <xdr:colOff>36</xdr:colOff>
                <xdr:row>3</xdr:row>
                <xdr:rowOff>0</xdr:rowOff>
              </xdr:from>
              <xdr:to>
                <xdr:col>11</xdr:col>
                <xdr:colOff>16</xdr:colOff>
                <xdr:row>7</xdr:row>
                <xdr:rowOff>8</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For BOMs of scope Weigh &amp; Dispense, optionally a required instrument type
Value from LookupTable InstrumentType</t>
        </r>
      </text>
      <mc:AlternateContent>
        <mc:Choice Requires="v2">
          <commentPr autoFill="true" autoScale="false" colHidden="false" locked="false" rowHidden="false" textHAlign="justify" textVAlign="top">
            <anchor moveWithCells="false" sizeWithCells="false">
              <xdr:from>
                <xdr:col>10</xdr:col>
                <xdr:colOff>36</xdr:colOff>
                <xdr:row>3</xdr:row>
                <xdr:rowOff>16</xdr:rowOff>
              </xdr:from>
              <xdr:to>
                <xdr:col>16</xdr:col>
                <xdr:colOff>88</xdr:colOff>
                <xdr:row>7</xdr:row>
                <xdr:rowOff>20</xdr:rowOff>
              </xdr:to>
            </anchor>
          </commentPr>
        </mc:Choice>
        <mc:Fallback/>
      </mc:AlternateContent>
    </comment>
    <comment ref="T1" authorId="0">
      <text>
        <r>
          <rPr>
            <sz val="10"/>
            <rFont val="Arial"/>
            <family val="2"/>
          </rPr>
          <t xml:space="preserve">For Scope = WeighAndDispense</t>
        </r>
      </text>
      <mc:AlternateContent>
        <mc:Choice Requires="v2">
          <commentPr autoFill="true" autoScale="false" colHidden="false" locked="false" rowHidden="false" textHAlign="justify" textVAlign="top">
            <anchor moveWithCells="false" sizeWithCells="false">
              <xdr:from>
                <xdr:col>16</xdr:col>
                <xdr:colOff>48</xdr:colOff>
                <xdr:row>4</xdr:row>
                <xdr:rowOff>0</xdr:rowOff>
              </xdr:from>
              <xdr:to>
                <xdr:col>17</xdr:col>
                <xdr:colOff>-84</xdr:colOff>
                <xdr:row>5</xdr:row>
                <xdr:rowOff>4</xdr:rowOff>
              </xdr:to>
            </anchor>
          </commentPr>
        </mc:Choice>
        <mc:Fallback/>
      </mc:AlternateContent>
    </comment>
    <comment ref="U1" authorId="1">
      <text>
        <r>
          <rPr>
            <sz val="10"/>
            <rFont val="Arial"/>
            <family val="2"/>
          </rPr>
          <t xml:space="preserve">Syntax:
</t>
        </r>
        <r>
          <rPr>
            <sz val="9"/>
            <color rgb="FF000000"/>
            <rFont val="Tahoma"/>
            <family val="2"/>
            <charset val="1"/>
          </rPr>
          <t xml:space="preserve">Each item is delimited by a semi-colon ';'
Format of each item is like:
For Scope = Material or Parts
SourceProduct[ProductName] Step[StepName] Quantity[1] Units[UnitName]
</t>
        </r>
        <r>
          <rPr>
            <u val="single"/>
            <sz val="9"/>
            <color rgb="FF000000"/>
            <rFont val="Tahoma"/>
            <family val="2"/>
            <charset val="1"/>
          </rPr>
          <t xml:space="preserve">
For Scope = Durable:
</t>
        </r>
        <r>
          <rPr>
            <sz val="9"/>
            <color rgb="FF000000"/>
            <rFont val="Tahoma"/>
            <family val="2"/>
            <charset val="1"/>
          </rPr>
          <t xml:space="preserve">SourceProduct[ProductName] Step[StepName]</t>
        </r>
      </text>
      <mc:AlternateContent>
        <mc:Choice Requires="v2">
          <commentPr autoFill="true" autoScale="false" colHidden="false" locked="false" rowHidden="false" textHAlign="justify" textVAlign="top">
            <anchor moveWithCells="false" sizeWithCells="false">
              <xdr:from>
                <xdr:col>16</xdr:col>
                <xdr:colOff>36</xdr:colOff>
                <xdr:row>4</xdr:row>
                <xdr:rowOff>0</xdr:rowOff>
              </xdr:from>
              <xdr:to>
                <xdr:col>20</xdr:col>
                <xdr:colOff>16</xdr:colOff>
                <xdr:row>14</xdr:row>
                <xdr:rowOff>12</xdr:rowOff>
              </xdr:to>
            </anchor>
          </commentPr>
        </mc:Choice>
        <mc:Fallback/>
      </mc:AlternateContent>
    </comment>
  </commentList>
</comments>
</file>

<file path=xl/comments1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G1" authorId="0">
      <text>
        <r>
          <rPr>
            <sz val="10"/>
            <rFont val="Arial"/>
            <family val="2"/>
          </rPr>
          <t xml:space="preserve">José Romeu Gonçalves:
</t>
        </r>
        <r>
          <rPr>
            <sz val="9"/>
            <color rgb="FF000000"/>
            <rFont val="Tahoma"/>
            <family val="2"/>
            <charset val="1"/>
          </rPr>
          <t xml:space="preserve">
A BOM of Scope WeighAndDispense or Materials</t>
        </r>
      </text>
      <mc:AlternateContent>
        <mc:Choice Requires="v2">
          <commentPr autoFill="true" autoScale="false" colHidden="false" locked="false" rowHidden="false" textHAlign="justify" textVAlign="top">
            <anchor moveWithCells="false" sizeWithCells="false">
              <xdr:from>
                <xdr:col>2</xdr:col>
                <xdr:colOff>16</xdr:colOff>
                <xdr:row>3</xdr:row>
                <xdr:rowOff>4</xdr:rowOff>
              </xdr:from>
              <xdr:to>
                <xdr:col>6</xdr:col>
                <xdr:colOff>144</xdr:colOff>
                <xdr:row>5</xdr:row>
                <xdr:rowOff>16</xdr:rowOff>
              </xdr:to>
            </anchor>
          </commentPr>
        </mc:Choice>
        <mc:Fallback/>
      </mc:AlternateContent>
    </comment>
  </commentList>
</comments>
</file>

<file path=xl/comments1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LookupTable ChecklistType</t>
        </r>
      </text>
      <mc:AlternateContent>
        <mc:Choice Requires="v2">
          <commentPr autoFill="true" autoScale="false" colHidden="false" locked="false" rowHidden="false" textHAlign="justify" textVAlign="top">
            <anchor moveWithCells="false" sizeWithCells="false">
              <xdr:from>
                <xdr:col>1</xdr:col>
                <xdr:colOff>0</xdr:colOff>
                <xdr:row>3</xdr:row>
                <xdr:rowOff>12</xdr:rowOff>
              </xdr:from>
              <xdr:to>
                <xdr:col>2</xdr:col>
                <xdr:colOff>240</xdr:colOff>
                <xdr:row>6</xdr:row>
                <xdr:rowOff>4</xdr:rowOff>
              </xdr:to>
            </anchor>
          </commentPr>
        </mc:Choice>
        <mc:Fallback/>
      </mc:AlternateContent>
    </comment>
    <comment ref="F1" authorId="0">
      <text>
        <r>
          <rPr>
            <sz val="10"/>
            <rFont val="Arial"/>
            <family val="2"/>
          </rPr>
          <t xml:space="preserve">José Romeu Gonçalves:
</t>
        </r>
        <r>
          <rPr>
            <b val="true"/>
            <u val="single"/>
            <sz val="9"/>
            <color rgb="FF000000"/>
            <rFont val="Tahoma"/>
            <family val="2"/>
            <charset val="1"/>
          </rPr>
          <t xml:space="preserve">
Possible scopes:
</t>
        </r>
        <r>
          <rPr>
            <sz val="9"/>
            <color rgb="FF000000"/>
            <rFont val="Tahoma"/>
            <family val="2"/>
            <charset val="1"/>
          </rPr>
          <t xml:space="preserve">
</t>
        </r>
        <r>
          <rPr>
            <u val="single"/>
            <sz val="9"/>
            <color rgb="FF000000"/>
            <rFont val="Tahoma"/>
            <family val="2"/>
            <charset val="1"/>
          </rPr>
          <t xml:space="preserve">Exception Management</t>
        </r>
        <r>
          <rPr>
            <sz val="9"/>
            <color rgb="FF000000"/>
            <rFont val="Tahoma"/>
            <family val="2"/>
            <charset val="1"/>
          </rPr>
          <t xml:space="preserve">: Only for be used in protocol. Must be LongRunning
</t>
        </r>
        <r>
          <rPr>
            <u val="single"/>
            <sz val="9"/>
            <color rgb="FF000000"/>
            <rFont val="Tahoma"/>
            <family val="2"/>
            <charset val="1"/>
          </rPr>
          <t xml:space="preserve">Maintenance Management</t>
        </r>
        <r>
          <rPr>
            <sz val="9"/>
            <color rgb="FF000000"/>
            <rFont val="Tahoma"/>
            <family val="2"/>
            <charset val="1"/>
          </rPr>
          <t xml:space="preserve">: Only to be used in Maintenance Plan. Must be LongRunning
</t>
        </r>
        <r>
          <rPr>
            <u val="single"/>
            <sz val="9"/>
            <color rgb="FF000000"/>
            <rFont val="Tahoma"/>
            <family val="2"/>
            <charset val="1"/>
          </rPr>
          <t xml:space="preserve">Material Tracking</t>
        </r>
        <r>
          <rPr>
            <sz val="9"/>
            <color rgb="FF000000"/>
            <rFont val="Tahoma"/>
            <family val="2"/>
            <charset val="1"/>
          </rPr>
          <t xml:space="preserve">: To be used with Material transaction. Can be Immediate or LongRunning
</t>
        </r>
        <r>
          <rPr>
            <u val="single"/>
            <sz val="9"/>
            <color rgb="FF000000"/>
            <rFont val="Tahoma"/>
            <family val="2"/>
            <charset val="1"/>
          </rPr>
          <t xml:space="preserve">Resource Tracking</t>
        </r>
        <r>
          <rPr>
            <sz val="9"/>
            <color rgb="FF000000"/>
            <rFont val="Tahoma"/>
            <family val="2"/>
            <charset val="1"/>
          </rPr>
          <t xml:space="preserve">. To be used when a resource state change occurs in the resource. Must be Immediate
</t>
        </r>
        <r>
          <rPr>
            <u val="single"/>
            <sz val="9"/>
            <color rgb="FF000000"/>
            <rFont val="Tahoma"/>
            <family val="2"/>
            <charset val="1"/>
          </rPr>
          <t xml:space="preserve">General</t>
        </r>
        <r>
          <rPr>
            <sz val="9"/>
            <color rgb="FF000000"/>
            <rFont val="Tahoma"/>
            <family val="2"/>
            <charset val="1"/>
          </rPr>
          <t xml:space="preserve">:</t>
        </r>
      </text>
      <mc:AlternateContent>
        <mc:Choice Requires="v2">
          <commentPr autoFill="true" autoScale="false" colHidden="false" locked="false" rowHidden="false" textHAlign="justify" textVAlign="top">
            <anchor moveWithCells="false" sizeWithCells="false">
              <xdr:from>
                <xdr:col>1</xdr:col>
                <xdr:colOff>32</xdr:colOff>
                <xdr:row>2</xdr:row>
                <xdr:rowOff>8</xdr:rowOff>
              </xdr:from>
              <xdr:to>
                <xdr:col>8</xdr:col>
                <xdr:colOff>4</xdr:colOff>
                <xdr:row>9</xdr:row>
                <xdr:rowOff>20</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t>
        </r>
        <r>
          <rPr>
            <b val="true"/>
            <sz val="9"/>
            <color rgb="FF000000"/>
            <rFont val="Tahoma"/>
            <family val="2"/>
            <charset val="1"/>
          </rPr>
          <t xml:space="preserve">Long Running:</t>
        </r>
        <r>
          <rPr>
            <sz val="9"/>
            <color rgb="FF000000"/>
            <rFont val="Tahoma"/>
            <family val="2"/>
            <charset val="1"/>
          </rPr>
          <t xml:space="preserve"> The checklist will be executed over a certain period of time and data will be committed as it is being executed.
</t>
        </r>
        <r>
          <rPr>
            <b val="true"/>
            <sz val="9"/>
            <color rgb="FF000000"/>
            <rFont val="Tahoma"/>
            <family val="2"/>
            <charset val="1"/>
          </rPr>
          <t xml:space="preserve">Immediate</t>
        </r>
        <r>
          <rPr>
            <sz val="9"/>
            <color rgb="FF000000"/>
            <rFont val="Tahoma"/>
            <family val="2"/>
            <charset val="1"/>
          </rPr>
          <t xml:space="preserve">: The checklist will be executed all at once and data will be committed at once
For Scope ExceptionManagement and MaintenanceManagement, Execution mode = LongRunning
For Scope ResourceTracking, Excecution mode = Immediate
</t>
        </r>
      </text>
      <mc:AlternateContent>
        <mc:Choice Requires="v2">
          <commentPr autoFill="true" autoScale="false" colHidden="false" locked="false" rowHidden="false" textHAlign="justify" textVAlign="top">
            <anchor moveWithCells="false" sizeWithCells="false">
              <xdr:from>
                <xdr:col>2</xdr:col>
                <xdr:colOff>280</xdr:colOff>
                <xdr:row>3</xdr:row>
                <xdr:rowOff>12</xdr:rowOff>
              </xdr:from>
              <xdr:to>
                <xdr:col>9</xdr:col>
                <xdr:colOff>28</xdr:colOff>
                <xdr:row>10</xdr:row>
                <xdr:rowOff>16</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For MaterialTracking only</t>
        </r>
      </text>
      <mc:AlternateContent>
        <mc:Choice Requires="v2">
          <commentPr autoFill="true" autoScale="false" colHidden="false" locked="false" rowHidden="false" textHAlign="justify" textVAlign="top">
            <anchor moveWithCells="false" sizeWithCells="false">
              <xdr:from>
                <xdr:col>2</xdr:col>
                <xdr:colOff>200</xdr:colOff>
                <xdr:row>4</xdr:row>
                <xdr:rowOff>8</xdr:rowOff>
              </xdr:from>
              <xdr:to>
                <xdr:col>4</xdr:col>
                <xdr:colOff>4</xdr:colOff>
                <xdr:row>7</xdr:row>
                <xdr:rowOff>12</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Only if Scope = MaterialTracking.
DataCollection of Scope = General Only</t>
        </r>
      </text>
      <mc:AlternateContent>
        <mc:Choice Requires="v2">
          <commentPr autoFill="true" autoScale="false" colHidden="false" locked="false" rowHidden="false" textHAlign="justify" textVAlign="top">
            <anchor moveWithCells="false" sizeWithCells="false">
              <xdr:from>
                <xdr:col>4</xdr:col>
                <xdr:colOff>64</xdr:colOff>
                <xdr:row>6</xdr:row>
                <xdr:rowOff>16</xdr:rowOff>
              </xdr:from>
              <xdr:to>
                <xdr:col>7</xdr:col>
                <xdr:colOff>24</xdr:colOff>
                <xdr:row>11</xdr:row>
                <xdr:rowOff>20</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Documentation URL to open document during Checklist Execution</t>
        </r>
      </text>
      <mc:AlternateContent>
        <mc:Choice Requires="v2">
          <commentPr autoFill="true" autoScale="false" colHidden="false" locked="false" rowHidden="false" textHAlign="justify" textVAlign="top">
            <anchor moveWithCells="false" sizeWithCells="false">
              <xdr:from>
                <xdr:col>7</xdr:col>
                <xdr:colOff>4</xdr:colOff>
                <xdr:row>2</xdr:row>
                <xdr:rowOff>16</xdr:rowOff>
              </xdr:from>
              <xdr:to>
                <xdr:col>9</xdr:col>
                <xdr:colOff>108</xdr:colOff>
                <xdr:row>6</xdr:row>
                <xdr:rowOff>8</xdr:rowOff>
              </xdr:to>
            </anchor>
          </commentPr>
        </mc:Choice>
        <mc:Fallback/>
      </mc:AlternateContent>
    </comment>
  </commentList>
</comments>
</file>

<file path=xl/comments1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A1" authorId="0">
      <text>
        <r>
          <rPr>
            <sz val="10"/>
            <rFont val="Arial"/>
            <family val="2"/>
          </rPr>
          <t xml:space="preserve">José Romeu Gonçalves:
</t>
        </r>
        <r>
          <rPr>
            <sz val="9"/>
            <color rgb="FF000000"/>
            <rFont val="Tahoma"/>
            <family val="2"/>
            <charset val="1"/>
          </rPr>
          <t xml:space="preserve">
An existing Checklist previously create in the Checklist worksheet</t>
        </r>
      </text>
      <mc:AlternateContent>
        <mc:Choice Requires="v2">
          <commentPr autoFill="true" autoScale="false" colHidden="false" locked="false" rowHidden="false" textHAlign="justify" textVAlign="top">
            <anchor moveWithCells="false" sizeWithCells="false">
              <xdr:from>
                <xdr:col>0</xdr:col>
                <xdr:colOff>44</xdr:colOff>
                <xdr:row>3</xdr:row>
                <xdr:rowOff>0</xdr:rowOff>
              </xdr:from>
              <xdr:to>
                <xdr:col>2</xdr:col>
                <xdr:colOff>12</xdr:colOff>
                <xdr:row>6</xdr:row>
                <xdr:rowOff>16</xdr:rowOff>
              </xdr:to>
            </anchor>
          </commentPr>
        </mc:Choice>
        <mc:Fallback/>
      </mc:AlternateContent>
    </comment>
    <comment ref="C1" authorId="1">
      <text>
        <r>
          <rPr>
            <sz val="10"/>
            <rFont val="Arial"/>
            <family val="2"/>
          </rPr>
          <t xml:space="preserve">Value Must belong to:
</t>
        </r>
        <r>
          <rPr>
            <sz val="9"/>
            <color rgb="FF000000"/>
            <rFont val="Tahoma"/>
            <family val="2"/>
            <charset val="1"/>
          </rPr>
          <t xml:space="preserve">LookupTable ChecklistItemType. Optional</t>
        </r>
      </text>
      <mc:AlternateContent>
        <mc:Choice Requires="v2">
          <commentPr autoFill="true" autoScale="false" colHidden="false" locked="false" rowHidden="false" textHAlign="justify" textVAlign="top">
            <anchor moveWithCells="false" sizeWithCells="false">
              <xdr:from>
                <xdr:col>1</xdr:col>
                <xdr:colOff>208</xdr:colOff>
                <xdr:row>5</xdr:row>
                <xdr:rowOff>0</xdr:rowOff>
              </xdr:from>
              <xdr:to>
                <xdr:col>4</xdr:col>
                <xdr:colOff>112</xdr:colOff>
                <xdr:row>7</xdr:row>
                <xdr:rowOff>16</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Documentation URL to open document during ChecklistItem Execution</t>
        </r>
      </text>
      <mc:AlternateContent>
        <mc:Choice Requires="v2">
          <commentPr autoFill="true" autoScale="false" colHidden="false" locked="false" rowHidden="false" textHAlign="justify" textVAlign="top">
            <anchor moveWithCells="false" sizeWithCells="false">
              <xdr:from>
                <xdr:col>2</xdr:col>
                <xdr:colOff>0</xdr:colOff>
                <xdr:row>2</xdr:row>
                <xdr:rowOff>16</xdr:rowOff>
              </xdr:from>
              <xdr:to>
                <xdr:col>5</xdr:col>
                <xdr:colOff>12</xdr:colOff>
                <xdr:row>6</xdr:row>
                <xdr:rowOff>8</xdr:rowOff>
              </xdr:to>
            </anchor>
          </commentPr>
        </mc:Choice>
        <mc:Fallback/>
      </mc:AlternateContent>
    </comment>
    <comment ref="F1" authorId="1">
      <text>
        <r>
          <rPr>
            <sz val="10"/>
            <rFont val="Arial"/>
            <family val="2"/>
          </rPr>
          <t xml:space="preserve">Possible Values:
</t>
        </r>
        <r>
          <rPr>
            <sz val="9"/>
            <color rgb="FF000000"/>
            <rFont val="Tahoma"/>
            <family val="2"/>
            <charset val="1"/>
          </rPr>
          <t xml:space="preserve">
- Manual Task - a manual procedure from which additional parameters can be collected
- Manual Action - a DEE action which is triggered manually. Note that Manual Actions cannot be applied to a Checklist whose execution mode is Immediate or Long Running.
- Automatic Action - a DEE action which is triggered automatically. Note that Automatic Actions cannot be applied to a Checklist whose execution mode is Immediate or Long Running.
- Signature - an item which needs to be signed with username and password;</t>
        </r>
      </text>
      <mc:AlternateContent>
        <mc:Choice Requires="v2">
          <commentPr autoFill="true" autoScale="false" colHidden="false" locked="false" rowHidden="false" textHAlign="justify" textVAlign="top">
            <anchor moveWithCells="false" sizeWithCells="false">
              <xdr:from>
                <xdr:col>5</xdr:col>
                <xdr:colOff>4</xdr:colOff>
                <xdr:row>5</xdr:row>
                <xdr:rowOff>16</xdr:rowOff>
              </xdr:from>
              <xdr:to>
                <xdr:col>14</xdr:col>
                <xdr:colOff>64</xdr:colOff>
                <xdr:row>15</xdr:row>
                <xdr:rowOff>8</xdr:rowOff>
              </xdr:to>
            </anchor>
          </commentPr>
        </mc:Choice>
        <mc:Fallback/>
      </mc:AlternateContent>
    </comment>
    <comment ref="G1" authorId="1">
      <text>
        <r>
          <rPr>
            <sz val="10"/>
            <rFont val="Arial"/>
            <family val="2"/>
          </rPr>
          <t xml:space="preserve">Possible Values:
</t>
        </r>
        <r>
          <rPr>
            <sz val="9"/>
            <color rgb="FF000000"/>
            <rFont val="Tahoma"/>
            <family val="2"/>
            <charset val="1"/>
          </rPr>
          <t xml:space="preserve">
Start And End - the start and the end need to be captured
End - capture only the completion of the task;</t>
        </r>
      </text>
      <mc:AlternateContent>
        <mc:Choice Requires="v2">
          <commentPr autoFill="true" autoScale="false" colHidden="false" locked="false" rowHidden="false" textHAlign="justify" textVAlign="top">
            <anchor moveWithCells="false" sizeWithCells="false">
              <xdr:from>
                <xdr:col>4</xdr:col>
                <xdr:colOff>112</xdr:colOff>
                <xdr:row>2</xdr:row>
                <xdr:rowOff>16</xdr:rowOff>
              </xdr:from>
              <xdr:to>
                <xdr:col>9</xdr:col>
                <xdr:colOff>20</xdr:colOff>
                <xdr:row>8</xdr:row>
                <xdr:rowOff>4</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A floating item can be performed at any time whereas a non-floating item needs to be executed in a sequence</t>
        </r>
      </text>
      <mc:AlternateContent>
        <mc:Choice Requires="v2">
          <commentPr autoFill="true" autoScale="false" colHidden="false" locked="false" rowHidden="false" textHAlign="justify" textVAlign="top">
            <anchor moveWithCells="false" sizeWithCells="false">
              <xdr:from>
                <xdr:col>5</xdr:col>
                <xdr:colOff>4</xdr:colOff>
                <xdr:row>2</xdr:row>
                <xdr:rowOff>8</xdr:rowOff>
              </xdr:from>
              <xdr:to>
                <xdr:col>9</xdr:col>
                <xdr:colOff>36</xdr:colOff>
                <xdr:row>5</xdr:row>
                <xdr:rowOff>20</xdr:rowOff>
              </xdr:to>
            </anchor>
          </commentPr>
        </mc:Choice>
        <mc:Fallback/>
      </mc:AlternateContent>
    </comment>
    <comment ref="L1" authorId="1">
      <text>
        <r>
          <rPr>
            <sz val="10"/>
            <rFont val="Arial"/>
            <family val="2"/>
          </rPr>
          <t xml:space="preserve">Value Must be:
</t>
        </r>
        <r>
          <rPr>
            <sz val="9"/>
            <color rgb="FF000000"/>
            <rFont val="Tahoma"/>
            <family val="2"/>
            <charset val="1"/>
          </rPr>
          <t xml:space="preserve">
Existing Rule Name</t>
        </r>
      </text>
      <mc:AlternateContent>
        <mc:Choice Requires="v2">
          <commentPr autoFill="true" autoScale="false" colHidden="false" locked="false" rowHidden="false" textHAlign="justify" textVAlign="top">
            <anchor moveWithCells="false" sizeWithCells="false">
              <xdr:from>
                <xdr:col>8</xdr:col>
                <xdr:colOff>44</xdr:colOff>
                <xdr:row>2</xdr:row>
                <xdr:rowOff>4</xdr:rowOff>
              </xdr:from>
              <xdr:to>
                <xdr:col>10</xdr:col>
                <xdr:colOff>16</xdr:colOff>
                <xdr:row>4</xdr:row>
                <xdr:rowOff>16</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The maximum Checklist Item instruction size (in Megabytes) is defined in the configuration entry: /Cmf/System/Configuration/Checklist/MaxInstructionSize.
Remark: Instruction can be in HTML format</t>
        </r>
      </text>
      <mc:AlternateContent>
        <mc:Choice Requires="v2">
          <commentPr autoFill="true" autoScale="false" colHidden="false" locked="false" rowHidden="false" textHAlign="justify" textVAlign="top">
            <anchor moveWithCells="false" sizeWithCells="false">
              <xdr:from>
                <xdr:col>6</xdr:col>
                <xdr:colOff>52</xdr:colOff>
                <xdr:row>2</xdr:row>
                <xdr:rowOff>16</xdr:rowOff>
              </xdr:from>
              <xdr:to>
                <xdr:col>14</xdr:col>
                <xdr:colOff>120</xdr:colOff>
                <xdr:row>7</xdr:row>
                <xdr:rowOff>4</xdr:rowOff>
              </xdr:to>
            </anchor>
          </commentPr>
        </mc:Choice>
        <mc:Fallback/>
      </mc:AlternateContent>
    </comment>
  </commentList>
</comments>
</file>

<file path=xl/comments1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A1" authorId="0">
      <text>
        <r>
          <rPr>
            <sz val="10"/>
            <rFont val="Arial"/>
            <family val="2"/>
          </rPr>
          <t xml:space="preserve">José Romeu Gonçalves:
</t>
        </r>
        <r>
          <rPr>
            <sz val="9"/>
            <color rgb="FF000000"/>
            <rFont val="Tahoma"/>
            <family val="2"/>
            <charset val="1"/>
          </rPr>
          <t xml:space="preserve">
An existing Checklist previously create in the Checklist worksheet</t>
        </r>
      </text>
      <mc:AlternateContent>
        <mc:Choice Requires="v2">
          <commentPr autoFill="true" autoScale="false" colHidden="false" locked="false" rowHidden="false" textHAlign="justify" textVAlign="top">
            <anchor moveWithCells="false" sizeWithCells="false">
              <xdr:from>
                <xdr:col>0</xdr:col>
                <xdr:colOff>68</xdr:colOff>
                <xdr:row>4</xdr:row>
                <xdr:rowOff>0</xdr:rowOff>
              </xdr:from>
              <xdr:to>
                <xdr:col>1</xdr:col>
                <xdr:colOff>77</xdr:colOff>
                <xdr:row>7</xdr:row>
                <xdr:rowOff>8</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An existing ChecklistItem Name previously create in the ChecklistItems worksheet</t>
        </r>
      </text>
      <mc:AlternateContent>
        <mc:Choice Requires="v2">
          <commentPr autoFill="true" autoScale="false" colHidden="false" locked="false" rowHidden="false" textHAlign="justify" textVAlign="top">
            <anchor moveWithCells="false" sizeWithCells="false">
              <xdr:from>
                <xdr:col>0</xdr:col>
                <xdr:colOff>120</xdr:colOff>
                <xdr:row>3</xdr:row>
                <xdr:rowOff>12</xdr:rowOff>
              </xdr:from>
              <xdr:to>
                <xdr:col>2</xdr:col>
                <xdr:colOff>84</xdr:colOff>
                <xdr:row>7</xdr:row>
                <xdr:rowOff>12</xdr:rowOff>
              </xdr:to>
            </anchor>
          </commentPr>
        </mc:Choice>
        <mc:Fallback/>
      </mc:AlternateContent>
    </comment>
    <comment ref="E1" authorId="1">
      <text>
        <r>
          <rPr>
            <sz val="10"/>
            <rFont val="Arial"/>
            <family val="2"/>
          </rPr>
          <t xml:space="preserve">Possible Values:
</t>
        </r>
        <r>
          <rPr>
            <sz val="9"/>
            <color rgb="FF000000"/>
            <rFont val="Tahoma"/>
            <family val="2"/>
            <charset val="1"/>
          </rPr>
          <t xml:space="preserve">
 - Free
 - LookupTable
 - Query</t>
        </r>
      </text>
      <mc:AlternateContent>
        <mc:Choice Requires="v2">
          <commentPr autoFill="true" autoScale="false" colHidden="false" locked="false" rowHidden="false" textHAlign="justify" textVAlign="top">
            <anchor moveWithCells="false" sizeWithCells="false">
              <xdr:from>
                <xdr:col>2</xdr:col>
                <xdr:colOff>188</xdr:colOff>
                <xdr:row>15</xdr:row>
                <xdr:rowOff>4</xdr:rowOff>
              </xdr:from>
              <xdr:to>
                <xdr:col>5</xdr:col>
                <xdr:colOff>24</xdr:colOff>
                <xdr:row>21</xdr:row>
                <xdr:rowOff>8</xdr:rowOff>
              </xdr:to>
            </anchor>
          </commentPr>
        </mc:Choice>
        <mc:Fallback/>
      </mc:AlternateContent>
    </comment>
    <comment ref="F1" authorId="1">
      <text>
        <r>
          <rPr>
            <sz val="10"/>
            <rFont val="Arial"/>
            <family val="2"/>
          </rPr>
          <t xml:space="preserve">Syntax:
</t>
        </r>
        <r>
          <rPr>
            <sz val="9"/>
            <color rgb="FF000000"/>
            <rFont val="Tahoma"/>
            <family val="2"/>
            <charset val="1"/>
          </rPr>
          <t xml:space="preserve">
Depends on the Source sellection
If Source == LookupTable then
     SourceObject should be the name of the lookup table
Else If Source == Query then
     SourceObject should be the \Path\QueryName</t>
        </r>
      </text>
      <mc:AlternateContent>
        <mc:Choice Requires="v2">
          <commentPr autoFill="true" autoScale="false" colHidden="false" locked="false" rowHidden="false" textHAlign="justify" textVAlign="top">
            <anchor moveWithCells="false" sizeWithCells="false">
              <xdr:from>
                <xdr:col>2</xdr:col>
                <xdr:colOff>16</xdr:colOff>
                <xdr:row>2</xdr:row>
                <xdr:rowOff>12</xdr:rowOff>
              </xdr:from>
              <xdr:to>
                <xdr:col>3</xdr:col>
                <xdr:colOff>68</xdr:colOff>
                <xdr:row>8</xdr:row>
                <xdr:rowOff>16</xdr:rowOff>
              </xdr:to>
            </anchor>
          </commentPr>
        </mc:Choice>
        <mc:Fallback/>
      </mc:AlternateContent>
    </comment>
  </commentList>
</comments>
</file>

<file path=xl/comments1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An existing Checklist previously create in the Checklist worksheet</t>
        </r>
      </text>
      <mc:AlternateContent>
        <mc:Choice Requires="v2">
          <commentPr autoFill="true" autoScale="false" colHidden="false" locked="false" rowHidden="false" textHAlign="justify" textVAlign="top">
            <anchor moveWithCells="false" sizeWithCells="false">
              <xdr:from>
                <xdr:col>0</xdr:col>
                <xdr:colOff>68</xdr:colOff>
                <xdr:row>4</xdr:row>
                <xdr:rowOff>0</xdr:rowOff>
              </xdr:from>
              <xdr:to>
                <xdr:col>2</xdr:col>
                <xdr:colOff>72</xdr:colOff>
                <xdr:row>7</xdr:row>
                <xdr:rowOff>8</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An existing ChecklistItem Name previously create in the ChecklistItems worksheet</t>
        </r>
      </text>
      <mc:AlternateContent>
        <mc:Choice Requires="v2">
          <commentPr autoFill="true" autoScale="false" colHidden="false" locked="false" rowHidden="false" textHAlign="justify" textVAlign="top">
            <anchor moveWithCells="false" sizeWithCells="false">
              <xdr:from>
                <xdr:col>1</xdr:col>
                <xdr:colOff>8</xdr:colOff>
                <xdr:row>3</xdr:row>
                <xdr:rowOff>12</xdr:rowOff>
              </xdr:from>
              <xdr:to>
                <xdr:col>3</xdr:col>
                <xdr:colOff>68</xdr:colOff>
                <xdr:row>7</xdr:row>
                <xdr:rowOff>12</xdr:rowOff>
              </xdr:to>
            </anchor>
          </commentPr>
        </mc:Choice>
        <mc:Fallback/>
      </mc:AlternateContent>
    </comment>
  </commentList>
</comments>
</file>

<file path=xl/comments1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LookupTable ProtocolType</t>
        </r>
      </text>
      <mc:AlternateContent>
        <mc:Choice Requires="v2">
          <commentPr autoFill="true" autoScale="false" colHidden="false" locked="false" rowHidden="false" textHAlign="justify" textVAlign="top">
            <anchor moveWithCells="false" sizeWithCells="false">
              <xdr:from>
                <xdr:col>5</xdr:col>
                <xdr:colOff>60</xdr:colOff>
                <xdr:row>5</xdr:row>
                <xdr:rowOff>4</xdr:rowOff>
              </xdr:from>
              <xdr:to>
                <xdr:col>7</xdr:col>
                <xdr:colOff>84</xdr:colOff>
                <xdr:row>7</xdr:row>
                <xdr:rowOff>16</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State Model Scope "Protocol Instance" created in the State Model Worksheet</t>
        </r>
      </text>
      <mc:AlternateContent>
        <mc:Choice Requires="v2">
          <commentPr autoFill="true" autoScale="false" colHidden="false" locked="false" rowHidden="false" textHAlign="justify" textVAlign="top">
            <anchor moveWithCells="false" sizeWithCells="false">
              <xdr:from>
                <xdr:col>5</xdr:col>
                <xdr:colOff>76</xdr:colOff>
                <xdr:row>4</xdr:row>
                <xdr:rowOff>16</xdr:rowOff>
              </xdr:from>
              <xdr:to>
                <xdr:col>8</xdr:col>
                <xdr:colOff>56</xdr:colOff>
                <xdr:row>8</xdr:row>
                <xdr:rowOff>4</xdr:rowOff>
              </xdr:to>
            </anchor>
          </commentPr>
        </mc:Choice>
        <mc:Fallback/>
      </mc:AlternateContent>
    </comment>
    <comment ref="G1" authorId="1">
      <text>
        <r>
          <rPr>
            <sz val="10"/>
            <rFont val="Arial"/>
            <family val="2"/>
          </rPr>
          <t xml:space="preserve">Value Must belong to:
</t>
        </r>
        <r>
          <rPr>
            <sz val="9"/>
            <color rgb="FF000000"/>
            <rFont val="Tahoma"/>
            <family val="2"/>
            <charset val="1"/>
          </rPr>
          <t xml:space="preserve">LookupTable ProtocolSeverity</t>
        </r>
      </text>
      <mc:AlternateContent>
        <mc:Choice Requires="v2">
          <commentPr autoFill="true" autoScale="false" colHidden="false" locked="false" rowHidden="false" textHAlign="justify" textVAlign="top">
            <anchor moveWithCells="false" sizeWithCells="false">
              <xdr:from>
                <xdr:col>10</xdr:col>
                <xdr:colOff>208</xdr:colOff>
                <xdr:row>2</xdr:row>
                <xdr:rowOff>16</xdr:rowOff>
              </xdr:from>
              <xdr:to>
                <xdr:col>11</xdr:col>
                <xdr:colOff>164</xdr:colOff>
                <xdr:row>5</xdr:row>
                <xdr:rowOff>8</xdr:rowOff>
              </xdr:to>
            </anchor>
          </commentPr>
        </mc:Choice>
        <mc:Fallback/>
      </mc:AlternateContent>
    </comment>
    <comment ref="H1" authorId="1">
      <text>
        <r>
          <rPr>
            <sz val="10"/>
            <rFont val="Arial"/>
            <family val="2"/>
          </rPr>
          <t xml:space="preserve">Syntax:
</t>
        </r>
        <r>
          <rPr>
            <sz val="9"/>
            <color rgb="FF000000"/>
            <rFont val="Tahoma"/>
            <family val="2"/>
            <charset val="1"/>
          </rPr>
          <t xml:space="preserve">
An existing Employee</t>
        </r>
      </text>
      <mc:AlternateContent>
        <mc:Choice Requires="v2">
          <commentPr autoFill="true" autoScale="false" colHidden="false" locked="false" rowHidden="false" textHAlign="justify" textVAlign="top">
            <anchor moveWithCells="false" sizeWithCells="false">
              <xdr:from>
                <xdr:col>10</xdr:col>
                <xdr:colOff>8</xdr:colOff>
                <xdr:row>1</xdr:row>
                <xdr:rowOff>16</xdr:rowOff>
              </xdr:from>
              <xdr:to>
                <xdr:col>11</xdr:col>
                <xdr:colOff>-94</xdr:colOff>
                <xdr:row>4</xdr:row>
                <xdr:rowOff>4</xdr:rowOff>
              </xdr:to>
            </anchor>
          </commentPr>
        </mc:Choice>
        <mc:Fallback/>
      </mc:AlternateContent>
    </comment>
    <comment ref="I1" authorId="1">
      <text>
        <r>
          <rPr>
            <sz val="10"/>
            <rFont val="Arial"/>
            <family val="2"/>
          </rPr>
          <t xml:space="preserve">Syntax:
</t>
        </r>
        <r>
          <rPr>
            <sz val="9"/>
            <color rgb="FF000000"/>
            <rFont val="Tahoma"/>
            <family val="2"/>
            <charset val="1"/>
          </rPr>
          <t xml:space="preserve">
An Existing Lookup Table Name</t>
        </r>
      </text>
      <mc:AlternateContent>
        <mc:Choice Requires="v2">
          <commentPr autoFill="true" autoScale="false" colHidden="false" locked="false" rowHidden="false" textHAlign="justify" textVAlign="top">
            <anchor moveWithCells="false" sizeWithCells="false">
              <xdr:from>
                <xdr:col>11</xdr:col>
                <xdr:colOff>60</xdr:colOff>
                <xdr:row>9</xdr:row>
                <xdr:rowOff>0</xdr:rowOff>
              </xdr:from>
              <xdr:to>
                <xdr:col>12</xdr:col>
                <xdr:colOff>44</xdr:colOff>
                <xdr:row>11</xdr:row>
                <xdr:rowOff>12</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If False, options DefaultInhibitmoveFromStep and DefaultInhibitShip can be override when a new ProtocolInstance is created</t>
        </r>
      </text>
      <mc:AlternateContent>
        <mc:Choice Requires="v2">
          <commentPr autoFill="true" autoScale="false" colHidden="false" locked="false" rowHidden="false" textHAlign="justify" textVAlign="top">
            <anchor moveWithCells="false" sizeWithCells="false">
              <xdr:from>
                <xdr:col>9</xdr:col>
                <xdr:colOff>48</xdr:colOff>
                <xdr:row>2</xdr:row>
                <xdr:rowOff>0</xdr:rowOff>
              </xdr:from>
              <xdr:to>
                <xdr:col>10</xdr:col>
                <xdr:colOff>184</xdr:colOff>
                <xdr:row>5</xdr:row>
                <xdr:rowOff>20</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If true, you can override the protocol state role when changing the state of a Protocol Instance.</t>
        </r>
      </text>
      <mc:AlternateContent>
        <mc:Choice Requires="v2">
          <commentPr autoFill="true" autoScale="false" colHidden="false" locked="false" rowHidden="false" textHAlign="justify" textVAlign="top">
            <anchor moveWithCells="false" sizeWithCells="false">
              <xdr:from>
                <xdr:col>11</xdr:col>
                <xdr:colOff>24</xdr:colOff>
                <xdr:row>2</xdr:row>
                <xdr:rowOff>12</xdr:rowOff>
              </xdr:from>
              <xdr:to>
                <xdr:col>12</xdr:col>
                <xdr:colOff>96</xdr:colOff>
                <xdr:row>6</xdr:row>
                <xdr:rowOff>4</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If True, if and Once the material is terminated, it will be removed from the protocolInstance</t>
        </r>
      </text>
      <mc:AlternateContent>
        <mc:Choice Requires="v2">
          <commentPr autoFill="true" autoScale="false" colHidden="false" locked="false" rowHidden="false" textHAlign="justify" textVAlign="top">
            <anchor moveWithCells="false" sizeWithCells="false">
              <xdr:from>
                <xdr:col>14</xdr:col>
                <xdr:colOff>12</xdr:colOff>
                <xdr:row>3</xdr:row>
                <xdr:rowOff>4</xdr:rowOff>
              </xdr:from>
              <xdr:to>
                <xdr:col>15</xdr:col>
                <xdr:colOff>88</xdr:colOff>
                <xdr:row>6</xdr:row>
                <xdr:rowOff>12</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If True, the ProtocolInstnace will be automatically terminated once all materials are disassociate from protocolInstance</t>
        </r>
      </text>
      <mc:AlternateContent>
        <mc:Choice Requires="v2">
          <commentPr autoFill="true" autoScale="false" colHidden="false" locked="false" rowHidden="false" textHAlign="justify" textVAlign="top">
            <anchor moveWithCells="false" sizeWithCells="false">
              <xdr:from>
                <xdr:col>15</xdr:col>
                <xdr:colOff>8</xdr:colOff>
                <xdr:row>2</xdr:row>
                <xdr:rowOff>8</xdr:rowOff>
              </xdr:from>
              <xdr:to>
                <xdr:col>16</xdr:col>
                <xdr:colOff>36</xdr:colOff>
                <xdr:row>6</xdr:row>
                <xdr:rowOff>16</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
Default Auto State Change Behavior: defaults to None. If the value is None, then no action is needed.
</t>
        </r>
        <r>
          <rPr>
            <b val="true"/>
            <u val="single"/>
            <sz val="9"/>
            <color rgb="FF000000"/>
            <rFont val="Tahoma"/>
            <family val="2"/>
            <charset val="1"/>
          </rPr>
          <t xml:space="preserve">Automatic</t>
        </r>
        <r>
          <rPr>
            <sz val="9"/>
            <color rgb="FF000000"/>
            <rFont val="Tahoma"/>
            <family val="2"/>
            <charset val="1"/>
          </rPr>
          <t xml:space="preserve">: after evaluation of the conditions to change the state or close the protocol instance, it will automatically change or close. If there is more than one next state possible, the system will ask what is the new state and will automatically change it.
</t>
        </r>
        <r>
          <rPr>
            <b val="true"/>
            <u val="single"/>
            <sz val="9"/>
            <color rgb="FF000000"/>
            <rFont val="Tahoma"/>
            <family val="2"/>
            <charset val="1"/>
          </rPr>
          <t xml:space="preserve">PromptNo</t>
        </r>
        <r>
          <rPr>
            <sz val="9"/>
            <color rgb="FF000000"/>
            <rFont val="Tahoma"/>
            <family val="2"/>
            <charset val="1"/>
          </rPr>
          <t xml:space="preserve">: after evaluation of the conditions to change the state or close the protocol instance, the user will be asked to change or close the protocol instance automatically – defaulting to "No". If there is more than one next state possible, the system will ask what is the new state. If the user chooses yes, the system will change the state or close the protocol instance.
</t>
        </r>
        <r>
          <rPr>
            <b val="true"/>
            <u val="single"/>
            <sz val="9"/>
            <color rgb="FF000000"/>
            <rFont val="Tahoma"/>
            <family val="2"/>
            <charset val="1"/>
          </rPr>
          <t xml:space="preserve">PromptYes</t>
        </r>
        <r>
          <rPr>
            <sz val="9"/>
            <color rgb="FF000000"/>
            <rFont val="Tahoma"/>
            <family val="2"/>
            <charset val="1"/>
          </rPr>
          <t xml:space="preserve">: similar to PromptNo, although in this case the default is Yes.</t>
        </r>
      </text>
      <mc:AlternateContent>
        <mc:Choice Requires="v2">
          <commentPr autoFill="true" autoScale="false" colHidden="false" locked="false" rowHidden="false" textHAlign="justify" textVAlign="top">
            <anchor moveWithCells="false" sizeWithCells="false">
              <xdr:from>
                <xdr:col>15</xdr:col>
                <xdr:colOff>52</xdr:colOff>
                <xdr:row>6</xdr:row>
                <xdr:rowOff>16</xdr:rowOff>
              </xdr:from>
              <xdr:to>
                <xdr:col>18</xdr:col>
                <xdr:colOff>152</xdr:colOff>
                <xdr:row>16</xdr:row>
                <xdr:rowOff>16</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Whenever a protocol instance is created, the system will send an email to the Owner (if defined); to the Initiator (if defined) and to the distribution list of the Role (if any)</t>
        </r>
      </text>
      <mc:AlternateContent>
        <mc:Choice Requires="v2">
          <commentPr autoFill="true" autoScale="false" colHidden="false" locked="false" rowHidden="false" textHAlign="justify" textVAlign="top">
            <anchor moveWithCells="false" sizeWithCells="false">
              <xdr:from>
                <xdr:col>16</xdr:col>
                <xdr:colOff>132</xdr:colOff>
                <xdr:row>2</xdr:row>
                <xdr:rowOff>16</xdr:rowOff>
              </xdr:from>
              <xdr:to>
                <xdr:col>18</xdr:col>
                <xdr:colOff>8</xdr:colOff>
                <xdr:row>7</xdr:row>
                <xdr:rowOff>16</xdr:rowOff>
              </xdr:to>
            </anchor>
          </commentPr>
        </mc:Choice>
        <mc:Fallback/>
      </mc:AlternateContent>
    </comment>
    <comment ref="U1" authorId="1">
      <text>
        <r>
          <rPr>
            <sz val="10"/>
            <rFont val="Arial"/>
            <family val="2"/>
          </rPr>
          <t xml:space="preserve">Syntax:
</t>
        </r>
        <r>
          <rPr>
            <sz val="9"/>
            <color rgb="FF000000"/>
            <rFont val="Tahoma"/>
            <family val="2"/>
            <charset val="1"/>
          </rPr>
          <t xml:space="preserve">
Each item is delimited by a semi-colon ';'
Format of each item is like:
Name[ParameterName] DataType[String] DefaultValue[Null]
DataType=Long or String or Decimal or Boolean or DateTime
DefaultValue= Value or Null
</t>
        </r>
        <r>
          <rPr>
            <b val="true"/>
            <u val="single"/>
            <sz val="9"/>
            <color rgb="FF000000"/>
            <rFont val="Tahoma"/>
            <family val="2"/>
            <charset val="1"/>
          </rPr>
          <t xml:space="preserve">Note:
</t>
        </r>
        <r>
          <rPr>
            <sz val="9"/>
            <color rgb="FF000000"/>
            <rFont val="Tahoma"/>
            <family val="2"/>
            <charset val="1"/>
          </rPr>
          <t xml:space="preserve">
For DataType = String, can be: Name[ParameterName] DataType[String] UseMultiline[Value] UseRichText[Value] DefaultValue[Null]
For DataType = DataTime, can be Name[ParameterName] DataType[DataTime] DateTimePickerMode[Value] DefaultValue[Null] (</t>
        </r>
        <r>
          <rPr>
            <b val="true"/>
            <i val="true"/>
            <sz val="9"/>
            <color rgb="FF000000"/>
            <rFont val="Tahoma"/>
            <family val="2"/>
            <charset val="1"/>
          </rPr>
          <t xml:space="preserve">Need to be tested</t>
        </r>
        <r>
          <rPr>
            <sz val="9"/>
            <color rgb="FF000000"/>
            <rFont val="Tahoma"/>
            <family val="2"/>
            <charset val="1"/>
          </rPr>
          <t xml:space="preserve">)
WhereDateTimePickerMode can be: Date, Time or DateTime</t>
        </r>
      </text>
      <mc:AlternateContent>
        <mc:Choice Requires="v2">
          <commentPr autoFill="true" autoScale="false" colHidden="false" locked="false" rowHidden="false" textHAlign="justify" textVAlign="top">
            <anchor moveWithCells="false" sizeWithCells="false">
              <xdr:from>
                <xdr:col>21</xdr:col>
                <xdr:colOff>192</xdr:colOff>
                <xdr:row>6</xdr:row>
                <xdr:rowOff>4</xdr:rowOff>
              </xdr:from>
              <xdr:to>
                <xdr:col>22</xdr:col>
                <xdr:colOff>848</xdr:colOff>
                <xdr:row>19</xdr:row>
                <xdr:rowOff>4</xdr:rowOff>
              </xdr:to>
            </anchor>
          </commentPr>
        </mc:Choice>
        <mc:Fallback/>
      </mc:AlternateContent>
    </comment>
  </commentList>
</comments>
</file>

<file path=xl/comments1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
</t>
        </r>
        <r>
          <rPr>
            <sz val="9"/>
            <color rgb="FF000000"/>
            <rFont val="Tahoma"/>
            <family val="2"/>
            <charset val="1"/>
          </rPr>
          <t xml:space="preserve">
Optional Existing Security Role Name.
The group of people who will perform each stage</t>
        </r>
      </text>
      <mc:AlternateContent>
        <mc:Choice Requires="v2">
          <commentPr autoFill="true" autoScale="false" colHidden="false" locked="false" rowHidden="false" textHAlign="justify" textVAlign="top">
            <anchor moveWithCells="false" sizeWithCells="false">
              <xdr:from>
                <xdr:col>4</xdr:col>
                <xdr:colOff>76</xdr:colOff>
                <xdr:row>6</xdr:row>
                <xdr:rowOff>16</xdr:rowOff>
              </xdr:from>
              <xdr:to>
                <xdr:col>5</xdr:col>
                <xdr:colOff>116</xdr:colOff>
                <xdr:row>11</xdr:row>
                <xdr:rowOff>4</xdr:rowOff>
              </xdr:to>
            </anchor>
          </commentPr>
        </mc:Choice>
        <mc:Fallback/>
      </mc:AlternateContent>
    </comment>
    <comment ref="D1" authorId="1">
      <text>
        <r>
          <rPr>
            <sz val="10"/>
            <rFont val="Arial"/>
            <family val="2"/>
          </rPr>
          <t xml:space="preserve">Value Must be:
</t>
        </r>
        <r>
          <rPr>
            <sz val="9"/>
            <color rgb="FF000000"/>
            <rFont val="Tahoma"/>
            <family val="2"/>
            <charset val="1"/>
          </rPr>
          <t xml:space="preserve">Optional Existing Checklist Name.
Scope = Exception management</t>
        </r>
      </text>
      <mc:AlternateContent>
        <mc:Choice Requires="v2">
          <commentPr autoFill="true" autoScale="false" colHidden="false" locked="false" rowHidden="false" textHAlign="justify" textVAlign="top">
            <anchor moveWithCells="false" sizeWithCells="false">
              <xdr:from>
                <xdr:col>4</xdr:col>
                <xdr:colOff>32</xdr:colOff>
                <xdr:row>4</xdr:row>
                <xdr:rowOff>8</xdr:rowOff>
              </xdr:from>
              <xdr:to>
                <xdr:col>5</xdr:col>
                <xdr:colOff>40</xdr:colOff>
                <xdr:row>7</xdr:row>
                <xdr:rowOff>16</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By default, it will have display the behavior defined at the protocol options; however you can change it at every stage.</t>
        </r>
      </text>
      <mc:AlternateContent>
        <mc:Choice Requires="v2">
          <commentPr autoFill="true" autoScale="false" colHidden="false" locked="false" rowHidden="false" textHAlign="justify" textVAlign="top">
            <anchor moveWithCells="false" sizeWithCells="false">
              <xdr:from>
                <xdr:col>4</xdr:col>
                <xdr:colOff>4</xdr:colOff>
                <xdr:row>7</xdr:row>
                <xdr:rowOff>16</xdr:rowOff>
              </xdr:from>
              <xdr:to>
                <xdr:col>5</xdr:col>
                <xdr:colOff>68</xdr:colOff>
                <xdr:row>11</xdr:row>
                <xdr:rowOff>20</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If true, the user can create a new task</t>
        </r>
      </text>
      <mc:AlternateContent>
        <mc:Choice Requires="v2">
          <commentPr autoFill="true" autoScale="false" colHidden="false" locked="false" rowHidden="false" textHAlign="justify" textVAlign="top">
            <anchor moveWithCells="false" sizeWithCells="false">
              <xdr:from>
                <xdr:col>4</xdr:col>
                <xdr:colOff>152</xdr:colOff>
                <xdr:row>3</xdr:row>
                <xdr:rowOff>8</xdr:rowOff>
              </xdr:from>
              <xdr:to>
                <xdr:col>6</xdr:col>
                <xdr:colOff>8</xdr:colOff>
                <xdr:row>6</xdr:row>
                <xdr:rowOff>16</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Tasks have different states - Created, Released, In Progress and Completed. When defining the task creation state, you can choose Created or Released.
- If Created, it needs to be approved to change to Released in order to be ready to be performed.
- If Released, it does not need to be approved to be ready to Perform by the assigned user (“owner”).</t>
        </r>
      </text>
      <mc:AlternateContent>
        <mc:Choice Requires="v2">
          <commentPr autoFill="true" autoScale="false" colHidden="false" locked="false" rowHidden="false" textHAlign="justify" textVAlign="top">
            <anchor moveWithCells="false" sizeWithCells="false">
              <xdr:from>
                <xdr:col>5</xdr:col>
                <xdr:colOff>28</xdr:colOff>
                <xdr:row>7</xdr:row>
                <xdr:rowOff>8</xdr:rowOff>
              </xdr:from>
              <xdr:to>
                <xdr:col>9</xdr:col>
                <xdr:colOff>92</xdr:colOff>
                <xdr:row>14</xdr:row>
                <xdr:rowOff>4</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There is the possibility to allow task creation as Created but not to allow its approval (to Release) at this particular state</t>
        </r>
      </text>
      <mc:AlternateContent>
        <mc:Choice Requires="v2">
          <commentPr autoFill="true" autoScale="false" colHidden="false" locked="false" rowHidden="false" textHAlign="justify" textVAlign="top">
            <anchor moveWithCells="false" sizeWithCells="false">
              <xdr:from>
                <xdr:col>6</xdr:col>
                <xdr:colOff>92</xdr:colOff>
                <xdr:row>7</xdr:row>
                <xdr:rowOff>4</xdr:rowOff>
              </xdr:from>
              <xdr:to>
                <xdr:col>9</xdr:col>
                <xdr:colOff>16</xdr:colOff>
                <xdr:row>10</xdr:row>
                <xdr:rowOff>16</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If true, it is possible to create dispositions for the associated materials.</t>
        </r>
      </text>
      <mc:AlternateContent>
        <mc:Choice Requires="v2">
          <commentPr autoFill="true" autoScale="false" colHidden="false" locked="false" rowHidden="false" textHAlign="justify" textVAlign="top">
            <anchor moveWithCells="false" sizeWithCells="false">
              <xdr:from>
                <xdr:col>8</xdr:col>
                <xdr:colOff>112</xdr:colOff>
                <xdr:row>4</xdr:row>
                <xdr:rowOff>4</xdr:rowOff>
              </xdr:from>
              <xdr:to>
                <xdr:col>10</xdr:col>
                <xdr:colOff>60</xdr:colOff>
                <xdr:row>7</xdr:row>
                <xdr:rowOff>8</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A disposition starts as Created, then Approved and finally Executed. You can define which disposition stage you want to have at each protocol state, otherwise you cannot Change State.
- Allow: You can create a Disposition for any associated Material, although it is not mandatory.
- Require: In this state, it is mandatory that Dispositions, for all the associated Materials, have been created.
- Approve: In this state, it is mandatory that Dispositions, for all the associated Materials, have been approved.
- Execute: In this state, it is mandatory that Dispositions, for all the associated Materials, have been executed.</t>
        </r>
      </text>
      <mc:AlternateContent>
        <mc:Choice Requires="v2">
          <commentPr autoFill="true" autoScale="false" colHidden="false" locked="false" rowHidden="false" textHAlign="justify" textVAlign="top">
            <anchor moveWithCells="false" sizeWithCells="false">
              <xdr:from>
                <xdr:col>8</xdr:col>
                <xdr:colOff>108</xdr:colOff>
                <xdr:row>3</xdr:row>
                <xdr:rowOff>4</xdr:rowOff>
              </xdr:from>
              <xdr:to>
                <xdr:col>12</xdr:col>
                <xdr:colOff>156</xdr:colOff>
                <xdr:row>10</xdr:row>
                <xdr:rowOff>16</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After the creation of the Disposition, it will be available for the Protocol Instance owner for approval. Only after this approval it can be executed by anyone who has state role permissions.</t>
        </r>
      </text>
      <mc:AlternateContent>
        <mc:Choice Requires="v2">
          <commentPr autoFill="true" autoScale="false" colHidden="false" locked="false" rowHidden="false" textHAlign="justify" textVAlign="top">
            <anchor moveWithCells="false" sizeWithCells="false">
              <xdr:from>
                <xdr:col>8</xdr:col>
                <xdr:colOff>100</xdr:colOff>
                <xdr:row>4</xdr:row>
                <xdr:rowOff>4</xdr:rowOff>
              </xdr:from>
              <xdr:to>
                <xdr:col>10</xdr:col>
                <xdr:colOff>160</xdr:colOff>
                <xdr:row>8</xdr:row>
                <xdr:rowOff>4</xdr:rowOff>
              </xdr:to>
            </anchor>
          </commentPr>
        </mc:Choice>
        <mc:Fallback/>
      </mc:AlternateContent>
    </comment>
    <comment ref="L1" authorId="1">
      <text>
        <r>
          <rPr>
            <sz val="10"/>
            <rFont val="Arial"/>
            <family val="2"/>
          </rPr>
          <t xml:space="preserve">Syntax:
</t>
        </r>
        <r>
          <rPr>
            <sz val="9"/>
            <color rgb="FF000000"/>
            <rFont val="Tahoma"/>
            <family val="2"/>
            <charset val="1"/>
          </rPr>
          <t xml:space="preserve">
Each item is delimited by a semi-colon ';'
Format of each item is like:
Name[ParameterName] IsOptional[No] IsReadOnly[No] SourceType[] Source[Null]
</t>
        </r>
        <r>
          <rPr>
            <b val="true"/>
            <u val="single"/>
            <sz val="9"/>
            <color rgb="FF000000"/>
            <rFont val="Tahoma"/>
            <family val="2"/>
            <charset val="1"/>
          </rPr>
          <t xml:space="preserve">SourceType=FreeText, LookupTable or Query
</t>
        </r>
        <r>
          <rPr>
            <sz val="9"/>
            <color rgb="FF000000"/>
            <rFont val="Tahoma"/>
            <family val="2"/>
            <charset val="1"/>
          </rPr>
          <t xml:space="preserve">If SourceType = LookupTable: Source = An existing lookup Table
If SourceType = Query: Source = An Existing query
If SourceType = FreeText: Source = Null</t>
        </r>
      </text>
      <mc:AlternateContent>
        <mc:Choice Requires="v2">
          <commentPr autoFill="true" autoScale="false" colHidden="false" locked="false" rowHidden="false" textHAlign="justify" textVAlign="top">
            <anchor moveWithCells="false" sizeWithCells="false">
              <xdr:from>
                <xdr:col>14</xdr:col>
                <xdr:colOff>20</xdr:colOff>
                <xdr:row>4</xdr:row>
                <xdr:rowOff>4</xdr:rowOff>
              </xdr:from>
              <xdr:to>
                <xdr:col>16</xdr:col>
                <xdr:colOff>24</xdr:colOff>
                <xdr:row>13</xdr:row>
                <xdr:rowOff>4</xdr:rowOff>
              </xdr:to>
            </anchor>
          </commentPr>
        </mc:Choice>
        <mc:Fallback/>
      </mc:AlternateContent>
    </comment>
  </commentList>
</comments>
</file>

<file path=xl/comments1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M1" authorId="0">
      <text>
        <r>
          <rPr>
            <sz val="10"/>
            <rFont val="Arial"/>
            <family val="2"/>
          </rPr>
          <t xml:space="preserve">José Romeu Gonçalves:
</t>
        </r>
        <r>
          <rPr>
            <sz val="9"/>
            <color rgb="FF000000"/>
            <rFont val="Tahoma"/>
            <family val="2"/>
            <charset val="1"/>
          </rPr>
          <t xml:space="preserve">
Defines whether a future hold is to be created for Inspection Orders of this Inspection Plan</t>
        </r>
      </text>
      <mc:AlternateContent>
        <mc:Choice Requires="v2">
          <commentPr autoFill="true" autoScale="false" colHidden="false" locked="false" rowHidden="false" textHAlign="justify" textVAlign="top">
            <anchor moveWithCells="false" sizeWithCells="false">
              <xdr:from>
                <xdr:col>10</xdr:col>
                <xdr:colOff>132</xdr:colOff>
                <xdr:row>2</xdr:row>
                <xdr:rowOff>16</xdr:rowOff>
              </xdr:from>
              <xdr:to>
                <xdr:col>13</xdr:col>
                <xdr:colOff>24</xdr:colOff>
                <xdr:row>6</xdr:row>
                <xdr:rowOff>16</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The Future Hold Step in case it's intended to put the Material on hold at a future Step</t>
        </r>
      </text>
      <mc:AlternateContent>
        <mc:Choice Requires="v2">
          <commentPr autoFill="true" autoScale="false" colHidden="false" locked="false" rowHidden="false" textHAlign="justify" textVAlign="top">
            <anchor moveWithCells="false" sizeWithCells="false">
              <xdr:from>
                <xdr:col>14</xdr:col>
                <xdr:colOff>64</xdr:colOff>
                <xdr:row>2</xdr:row>
                <xdr:rowOff>16</xdr:rowOff>
              </xdr:from>
              <xdr:to>
                <xdr:col>16</xdr:col>
                <xdr:colOff>144</xdr:colOff>
                <xdr:row>6</xdr:row>
                <xdr:rowOff>16</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
The Future Hold Reason in case it's intended to put the Material on hold at a future Step</t>
        </r>
      </text>
      <mc:AlternateContent>
        <mc:Choice Requires="v2">
          <commentPr autoFill="true" autoScale="false" colHidden="false" locked="false" rowHidden="false" textHAlign="justify" textVAlign="top">
            <anchor moveWithCells="false" sizeWithCells="false">
              <xdr:from>
                <xdr:col>15</xdr:col>
                <xdr:colOff>104</xdr:colOff>
                <xdr:row>3</xdr:row>
                <xdr:rowOff>4</xdr:rowOff>
              </xdr:from>
              <xdr:to>
                <xdr:col>17</xdr:col>
                <xdr:colOff>60</xdr:colOff>
                <xdr:row>9</xdr:row>
                <xdr:rowOff>8</xdr:rowOff>
              </xdr:to>
            </anchor>
          </commentPr>
        </mc:Choice>
        <mc:Fallback/>
      </mc:AlternateContent>
    </comment>
    <comment ref="U1" authorId="0">
      <text>
        <r>
          <rPr>
            <sz val="10"/>
            <rFont val="Arial"/>
            <family val="2"/>
          </rPr>
          <t xml:space="preserve">José Romeu Gonçalves:
</t>
        </r>
        <r>
          <rPr>
            <sz val="9"/>
            <color rgb="FF000000"/>
            <rFont val="Tahoma"/>
            <family val="2"/>
            <charset val="1"/>
          </rPr>
          <t xml:space="preserve">
The Hold Reason in case it's intended to put the Material on hold if the Inspection fails</t>
        </r>
      </text>
      <mc:AlternateContent>
        <mc:Choice Requires="v2">
          <commentPr autoFill="true" autoScale="false" colHidden="false" locked="false" rowHidden="false" textHAlign="justify" textVAlign="top">
            <anchor moveWithCells="false" sizeWithCells="false">
              <xdr:from>
                <xdr:col>19</xdr:col>
                <xdr:colOff>0</xdr:colOff>
                <xdr:row>5</xdr:row>
                <xdr:rowOff>4</xdr:rowOff>
              </xdr:from>
              <xdr:to>
                <xdr:col>21</xdr:col>
                <xdr:colOff>28</xdr:colOff>
                <xdr:row>9</xdr:row>
                <xdr:rowOff>4</xdr:rowOff>
              </xdr:to>
            </anchor>
          </commentPr>
        </mc:Choice>
        <mc:Fallback/>
      </mc:AlternateContent>
    </comment>
    <comment ref="V1" authorId="0">
      <text>
        <r>
          <rPr>
            <sz val="10"/>
            <rFont val="Arial"/>
            <family val="2"/>
          </rPr>
          <t xml:space="preserve">José Romeu Gonçalves:
</t>
        </r>
        <r>
          <rPr>
            <sz val="9"/>
            <color rgb="FF000000"/>
            <rFont val="Tahoma"/>
            <family val="2"/>
            <charset val="1"/>
          </rPr>
          <t xml:space="preserve">
The Hold Release Role in case it's intended to put the Material on hold if the Inspection fails</t>
        </r>
      </text>
      <mc:AlternateContent>
        <mc:Choice Requires="v2">
          <commentPr autoFill="true" autoScale="false" colHidden="false" locked="false" rowHidden="false" textHAlign="justify" textVAlign="top">
            <anchor moveWithCells="false" sizeWithCells="false">
              <xdr:from>
                <xdr:col>20</xdr:col>
                <xdr:colOff>20</xdr:colOff>
                <xdr:row>3</xdr:row>
                <xdr:rowOff>12</xdr:rowOff>
              </xdr:from>
              <xdr:to>
                <xdr:col>23</xdr:col>
                <xdr:colOff>16</xdr:colOff>
                <xdr:row>8</xdr:row>
                <xdr:rowOff>20</xdr:rowOff>
              </xdr:to>
            </anchor>
          </commentPr>
        </mc:Choice>
        <mc:Fallback/>
      </mc:AlternateContent>
    </comment>
  </commentList>
</comments>
</file>

<file path=xl/comments1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Whether the Inspection takes place at the Step where the Inspection is resolved, that is, during the process step</t>
        </r>
      </text>
      <mc:AlternateContent>
        <mc:Choice Requires="v2">
          <commentPr autoFill="true" autoScale="false" colHidden="false" locked="false" rowHidden="false" textHAlign="justify" textVAlign="top">
            <anchor moveWithCells="false" sizeWithCells="false">
              <xdr:from>
                <xdr:col>3</xdr:col>
                <xdr:colOff>16</xdr:colOff>
                <xdr:row>0</xdr:row>
                <xdr:rowOff>0</xdr:rowOff>
              </xdr:from>
              <xdr:to>
                <xdr:col>6</xdr:col>
                <xdr:colOff>4</xdr:colOff>
                <xdr:row>4</xdr:row>
                <xdr:rowOff>20</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Whether a split is required when sending a Sample to this Inspection Step: None, Permanent, Temporary</t>
        </r>
      </text>
      <mc:AlternateContent>
        <mc:Choice Requires="v2">
          <commentPr autoFill="true" autoScale="false" colHidden="false" locked="false" rowHidden="false" textHAlign="justify" textVAlign="top">
            <anchor moveWithCells="false" sizeWithCells="false">
              <xdr:from>
                <xdr:col>3</xdr:col>
                <xdr:colOff>44</xdr:colOff>
                <xdr:row>2</xdr:row>
                <xdr:rowOff>8</xdr:rowOff>
              </xdr:from>
              <xdr:to>
                <xdr:col>6</xdr:col>
                <xdr:colOff>56</xdr:colOff>
                <xdr:row>7</xdr:row>
                <xdr:rowOff>16</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
What is the split step mode</t>
        </r>
      </text>
      <mc:AlternateContent>
        <mc:Choice Requires="v2">
          <commentPr autoFill="true" autoScale="false" colHidden="false" locked="false" rowHidden="false" textHAlign="justify" textVAlign="top">
            <anchor moveWithCells="false" sizeWithCells="false">
              <xdr:from>
                <xdr:col>4</xdr:col>
                <xdr:colOff>64</xdr:colOff>
                <xdr:row>3</xdr:row>
                <xdr:rowOff>0</xdr:rowOff>
              </xdr:from>
              <xdr:to>
                <xdr:col>6</xdr:col>
                <xdr:colOff>68</xdr:colOff>
                <xdr:row>7</xdr:row>
                <xdr:rowOff>20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Whether to scrap the inspected material</t>
        </r>
      </text>
      <mc:AlternateContent>
        <mc:Choice Requires="v2">
          <commentPr autoFill="true" autoScale="false" colHidden="false" locked="false" rowHidden="false" textHAlign="justify" textVAlign="top">
            <anchor moveWithCells="false" sizeWithCells="false">
              <xdr:from>
                <xdr:col>7</xdr:col>
                <xdr:colOff>44</xdr:colOff>
                <xdr:row>4</xdr:row>
                <xdr:rowOff>0</xdr:rowOff>
              </xdr:from>
              <xdr:to>
                <xdr:col>9</xdr:col>
                <xdr:colOff>68</xdr:colOff>
                <xdr:row>6</xdr:row>
                <xdr:rowOff>20</xdr:rowOff>
              </xdr:to>
            </anchor>
          </commentPr>
        </mc:Choice>
        <mc:Fallback/>
      </mc:AlternateContent>
    </comment>
  </commentList>
</comments>
</file>

<file path=xl/comments13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A value from LookupTable InspectionPlanConfiguration</t>
        </r>
      </text>
      <mc:AlternateContent>
        <mc:Choice Requires="v2">
          <commentPr autoFill="true" autoScale="false" colHidden="false" locked="false" rowHidden="false" textHAlign="justify" textVAlign="top">
            <anchor moveWithCells="false" sizeWithCells="false">
              <xdr:from>
                <xdr:col>1</xdr:col>
                <xdr:colOff>8</xdr:colOff>
                <xdr:row>5</xdr:row>
                <xdr:rowOff>8</xdr:rowOff>
              </xdr:from>
              <xdr:to>
                <xdr:col>3</xdr:col>
                <xdr:colOff>52</xdr:colOff>
                <xdr:row>9</xdr:row>
                <xdr:rowOff>16</xdr:rowOff>
              </xdr:to>
            </anchor>
          </commentPr>
        </mc:Choice>
        <mc:Fallback/>
      </mc:AlternateContent>
    </comment>
  </commentList>
</comments>
</file>

<file path=xl/comments13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The step this Inspection Plan Configuration Step refers to</t>
        </r>
      </text>
      <mc:AlternateContent>
        <mc:Choice Requires="v2">
          <commentPr autoFill="true" autoScale="false" colHidden="false" locked="false" rowHidden="false" textHAlign="justify" textVAlign="top">
            <anchor moveWithCells="false" sizeWithCells="false">
              <xdr:from>
                <xdr:col>3</xdr:col>
                <xdr:colOff>92</xdr:colOff>
                <xdr:row>4</xdr:row>
                <xdr:rowOff>0</xdr:rowOff>
              </xdr:from>
              <xdr:to>
                <xdr:col>6</xdr:col>
                <xdr:colOff>28</xdr:colOff>
                <xdr:row>7</xdr:row>
                <xdr:rowOff>20</xdr:rowOff>
              </xdr:to>
            </anchor>
          </commentPr>
        </mc:Choice>
        <mc:Fallback/>
      </mc:AlternateContent>
    </comment>
  </commentList>
</comments>
</file>

<file path=xl/comments13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Pedro Silva</author>
    <author>José Romeu Gonçalves</author>
    <author>Luís Miguel Ponte</author>
    <author>Manuel Maria Brandão</author>
  </authors>
  <commentList>
    <comment ref="D1" authorId="3">
      <text>
        <r>
          <rPr>
            <sz val="10"/>
            <rFont val="Arial"/>
            <family val="2"/>
          </rPr>
          <t xml:space="preserve">Syntax:
</t>
        </r>
        <r>
          <rPr>
            <sz val="9"/>
            <color rgb="FF000000"/>
            <rFont val="Tahoma"/>
            <family val="2"/>
            <charset val="1"/>
          </rPr>
          <t xml:space="preserve">
Value from RecipeType Lookup Table</t>
        </r>
      </text>
      <mc:AlternateContent>
        <mc:Choice Requires="v2">
          <commentPr autoFill="true" autoScale="false" colHidden="false" locked="false" rowHidden="false" textHAlign="justify" textVAlign="top">
            <anchor moveWithCells="false" sizeWithCells="false">
              <xdr:from>
                <xdr:col>2</xdr:col>
                <xdr:colOff>68</xdr:colOff>
                <xdr:row>0</xdr:row>
                <xdr:rowOff>0</xdr:rowOff>
              </xdr:from>
              <xdr:to>
                <xdr:col>3</xdr:col>
                <xdr:colOff>44</xdr:colOff>
                <xdr:row>3</xdr:row>
                <xdr:rowOff>12</xdr:rowOff>
              </xdr:to>
            </anchor>
          </commentPr>
        </mc:Choice>
        <mc:Fallback/>
      </mc:AlternateContent>
    </comment>
    <comment ref="F1" authorId="1">
      <text>
        <r>
          <rPr>
            <sz val="10"/>
            <rFont val="Arial"/>
            <family val="2"/>
          </rPr>
          <t xml:space="preserve">José Romeu Gonçalves:
</t>
        </r>
        <r>
          <rPr>
            <sz val="9"/>
            <color rgb="FF000000"/>
            <rFont val="Tahoma"/>
            <family val="2"/>
            <charset val="1"/>
          </rPr>
          <t xml:space="preserve">
A disabled Recipe cannot be used to create a Recipe instance.</t>
        </r>
      </text>
      <mc:AlternateContent>
        <mc:Choice Requires="v2">
          <commentPr autoFill="true" autoScale="false" colHidden="false" locked="false" rowHidden="false" textHAlign="justify" textVAlign="top">
            <anchor moveWithCells="false" sizeWithCells="false">
              <xdr:from>
                <xdr:col>2</xdr:col>
                <xdr:colOff>88</xdr:colOff>
                <xdr:row>3</xdr:row>
                <xdr:rowOff>12</xdr:rowOff>
              </xdr:from>
              <xdr:to>
                <xdr:col>4</xdr:col>
                <xdr:colOff>76</xdr:colOff>
                <xdr:row>6</xdr:row>
                <xdr:rowOff>20</xdr:rowOff>
              </xdr:to>
            </anchor>
          </commentPr>
        </mc:Choice>
        <mc:Fallback/>
      </mc:AlternateContent>
    </comment>
    <comment ref="G1" authorId="1">
      <text>
        <r>
          <rPr>
            <sz val="10"/>
            <rFont val="Arial"/>
            <family val="2"/>
          </rPr>
          <t xml:space="preserve">José Romeu Gonçalves:
</t>
        </r>
        <r>
          <rPr>
            <sz val="9"/>
            <color rgb="FF000000"/>
            <rFont val="Tahoma"/>
            <family val="2"/>
            <charset val="1"/>
          </rPr>
          <t xml:space="preserve">
an executable Recipe can be used as the Recipe for a Material, whereas a non-executable Recipe can only be used as a Sub-Recipe</t>
        </r>
      </text>
      <mc:AlternateContent>
        <mc:Choice Requires="v2">
          <commentPr autoFill="true" autoScale="false" colHidden="false" locked="false" rowHidden="false" textHAlign="justify" textVAlign="top">
            <anchor moveWithCells="false" sizeWithCells="false">
              <xdr:from>
                <xdr:col>0</xdr:col>
                <xdr:colOff>164</xdr:colOff>
                <xdr:row>4</xdr:row>
                <xdr:rowOff>4</xdr:rowOff>
              </xdr:from>
              <xdr:to>
                <xdr:col>2</xdr:col>
                <xdr:colOff>164</xdr:colOff>
                <xdr:row>8</xdr:row>
                <xdr:rowOff>4</xdr:rowOff>
              </xdr:to>
            </anchor>
          </commentPr>
        </mc:Choice>
        <mc:Fallback/>
      </mc:AlternateContent>
    </comment>
    <comment ref="H1" authorId="1">
      <text>
        <r>
          <rPr>
            <sz val="10"/>
            <rFont val="Arial"/>
            <family val="2"/>
          </rPr>
          <t xml:space="preserve">José Romeu Gonçalves:
</t>
        </r>
        <r>
          <rPr>
            <sz val="9"/>
            <color rgb="FF000000"/>
            <rFont val="Tahoma"/>
            <family val="2"/>
            <charset val="1"/>
          </rPr>
          <t xml:space="preserve">
Should match the local Recipe name in the equipment</t>
        </r>
      </text>
      <mc:AlternateContent>
        <mc:Choice Requires="v2">
          <commentPr autoFill="true" autoScale="false" colHidden="false" locked="false" rowHidden="false" textHAlign="justify" textVAlign="top">
            <anchor moveWithCells="false" sizeWithCells="false">
              <xdr:from>
                <xdr:col>2</xdr:col>
                <xdr:colOff>96</xdr:colOff>
                <xdr:row>2</xdr:row>
                <xdr:rowOff>8</xdr:rowOff>
              </xdr:from>
              <xdr:to>
                <xdr:col>4</xdr:col>
                <xdr:colOff>64</xdr:colOff>
                <xdr:row>5</xdr:row>
                <xdr:rowOff>12</xdr:rowOff>
              </xdr:to>
            </anchor>
          </commentPr>
        </mc:Choice>
        <mc:Fallback/>
      </mc:AlternateContent>
    </comment>
    <comment ref="K1" authorId="2">
      <text>
        <r>
          <rPr>
            <sz val="10"/>
            <rFont val="Arial"/>
            <family val="2"/>
          </rPr>
          <t xml:space="preserve">Possible Values:
</t>
        </r>
        <r>
          <rPr>
            <sz val="9"/>
            <color rgb="FF000000"/>
            <rFont val="Tahoma"/>
            <family val="2"/>
            <charset val="1"/>
          </rPr>
          <t xml:space="preserve">
DownloadedFromEquipment - in this case, a Resource whose RecipeManagement property is enabled and whose automation mode is online and that supports Recipe download, must be selected, as well as the Resource's local Recipe name. In this case, the format is always binary; press the button Get Recipes to retrieve a list of available Recipes at the Resource.
EquipmentSupplier - in this case, the user must specify the format:
-Text, a file can be uploaded and optionally edited in the Body Text;
-Binary, a file must be uploaded;
-URL, the URL must be provided in the Body text;
HumanEdited - in this case, the user must specify the format:
-Text, a file can be uploaded and optionally edited in the Body Text;
-Binary, a file must be uploaded;
-URL, the URL must be provided in the Body text;
None - in this case, the Recipe contains no Body</t>
        </r>
        <r>
          <rPr>
            <sz val="8"/>
            <color rgb="FF000000"/>
            <rFont val="Tahoma"/>
            <family val="2"/>
            <charset val="1"/>
          </rPr>
          <t xml:space="preserve">.</t>
        </r>
      </text>
      <mc:AlternateContent>
        <mc:Choice Requires="v2">
          <commentPr autoFill="true" autoScale="false" colHidden="false" locked="false" rowHidden="false" textHAlign="justify" textVAlign="top">
            <anchor moveWithCells="false" sizeWithCells="false">
              <xdr:from>
                <xdr:col>2</xdr:col>
                <xdr:colOff>0</xdr:colOff>
                <xdr:row>2</xdr:row>
                <xdr:rowOff>8</xdr:rowOff>
              </xdr:from>
              <xdr:to>
                <xdr:col>7</xdr:col>
                <xdr:colOff>80</xdr:colOff>
                <xdr:row>16</xdr:row>
                <xdr:rowOff>16</xdr:rowOff>
              </xdr:to>
            </anchor>
          </commentPr>
        </mc:Choice>
        <mc:Fallback/>
      </mc:AlternateContent>
    </comment>
    <comment ref="L1" authorId="2">
      <text>
        <r>
          <rPr>
            <sz val="10"/>
            <rFont val="Arial"/>
            <family val="2"/>
          </rPr>
          <t xml:space="preserve">Possible Values:
</t>
        </r>
        <r>
          <rPr>
            <sz val="9"/>
            <color rgb="FF000000"/>
            <rFont val="Tahoma"/>
            <family val="2"/>
            <charset val="1"/>
          </rPr>
          <t xml:space="preserve">
- Text
- Binary
- Url
If Body Source = DownloadedFromEquipment, then Body Format = Binary</t>
        </r>
      </text>
      <mc:AlternateContent>
        <mc:Choice Requires="v2">
          <commentPr autoFill="true" autoScale="false" colHidden="false" locked="false" rowHidden="false" textHAlign="justify" textVAlign="top">
            <anchor moveWithCells="false" sizeWithCells="false">
              <xdr:from>
                <xdr:col>5</xdr:col>
                <xdr:colOff>64</xdr:colOff>
                <xdr:row>2</xdr:row>
                <xdr:rowOff>4</xdr:rowOff>
              </xdr:from>
              <xdr:to>
                <xdr:col>7</xdr:col>
                <xdr:colOff>156</xdr:colOff>
                <xdr:row>8</xdr:row>
                <xdr:rowOff>16</xdr:rowOff>
              </xdr:to>
            </anchor>
          </commentPr>
        </mc:Choice>
        <mc:Fallback/>
      </mc:AlternateContent>
    </comment>
    <comment ref="N1" authorId="0">
      <text>
        <r>
          <rPr>
            <sz val="10"/>
            <rFont val="Arial"/>
            <family val="2"/>
          </rPr>
          <t xml:space="preserve">Remarks:
</t>
        </r>
        <r>
          <rPr>
            <sz val="9"/>
            <color rgb="FF000000"/>
            <rFont val="Tahoma"/>
            <family val="2"/>
            <charset val="1"/>
          </rPr>
          <t xml:space="preserve">
If BodyFormat is Binary insert a path to a file.</t>
        </r>
      </text>
      <mc:AlternateContent>
        <mc:Choice Requires="v2">
          <commentPr autoFill="true" autoScale="false" colHidden="false" locked="false" rowHidden="false" textHAlign="justify" textVAlign="top">
            <anchor moveWithCells="false" sizeWithCells="false">
              <xdr:from>
                <xdr:col>7</xdr:col>
                <xdr:colOff>176</xdr:colOff>
                <xdr:row>3</xdr:row>
                <xdr:rowOff>0</xdr:rowOff>
              </xdr:from>
              <xdr:to>
                <xdr:col>8</xdr:col>
                <xdr:colOff>20</xdr:colOff>
                <xdr:row>6</xdr:row>
                <xdr:rowOff>12</xdr:rowOff>
              </xdr:to>
            </anchor>
          </commentPr>
        </mc:Choice>
        <mc:Fallback/>
      </mc:AlternateContent>
    </comment>
  </commentList>
</comments>
</file>

<file path=xl/comments13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Luís Miguel Ponte</author>
  </authors>
  <commentList>
    <comment ref="A1" authorId="0">
      <text>
        <r>
          <rPr>
            <sz val="10"/>
            <rFont val="Arial"/>
            <family val="2"/>
          </rPr>
          <t xml:space="preserve">Value must be:
</t>
        </r>
        <r>
          <rPr>
            <sz val="9"/>
            <color rgb="FF000000"/>
            <rFont val="Tahoma"/>
            <family val="2"/>
            <charset val="1"/>
          </rPr>
          <t xml:space="preserve">
Name of an existing recipe in the system</t>
        </r>
      </text>
      <mc:AlternateContent>
        <mc:Choice Requires="v2">
          <commentPr autoFill="true" autoScale="false" colHidden="false" locked="false" rowHidden="false" textHAlign="justify" textVAlign="top">
            <anchor moveWithCells="false" sizeWithCells="false">
              <xdr:from>
                <xdr:col>0</xdr:col>
                <xdr:colOff>16</xdr:colOff>
                <xdr:row>2</xdr:row>
                <xdr:rowOff>4</xdr:rowOff>
              </xdr:from>
              <xdr:to>
                <xdr:col>1</xdr:col>
                <xdr:colOff>-174</xdr:colOff>
                <xdr:row>5</xdr:row>
                <xdr:rowOff>12</xdr:rowOff>
              </xdr:to>
            </anchor>
          </commentPr>
        </mc:Choice>
        <mc:Fallback/>
      </mc:AlternateContent>
    </comment>
    <comment ref="B1" authorId="0">
      <text>
        <r>
          <rPr>
            <sz val="10"/>
            <rFont val="Arial"/>
            <family val="2"/>
          </rPr>
          <t xml:space="preserve">Value must be:
</t>
        </r>
        <r>
          <rPr>
            <sz val="9"/>
            <color rgb="FF000000"/>
            <rFont val="Tahoma"/>
            <family val="2"/>
            <charset val="1"/>
          </rPr>
          <t xml:space="preserve">
Name of an existing Parameter in the system of Scope = Recipe or EDC_SPC_RECIPE</t>
        </r>
      </text>
      <mc:AlternateContent>
        <mc:Choice Requires="v2">
          <commentPr autoFill="true" autoScale="false" colHidden="false" locked="false" rowHidden="false" textHAlign="justify" textVAlign="top">
            <anchor moveWithCells="false" sizeWithCells="false">
              <xdr:from>
                <xdr:col>0</xdr:col>
                <xdr:colOff>288</xdr:colOff>
                <xdr:row>10</xdr:row>
                <xdr:rowOff>0</xdr:rowOff>
              </xdr:from>
              <xdr:to>
                <xdr:col>3</xdr:col>
                <xdr:colOff>56</xdr:colOff>
                <xdr:row>13</xdr:row>
                <xdr:rowOff>4</xdr:rowOff>
              </xdr:to>
            </anchor>
          </commentPr>
        </mc:Choice>
        <mc:Fallback/>
      </mc:AlternateContent>
    </comment>
    <comment ref="E1" authorId="0">
      <text>
        <r>
          <rPr>
            <sz val="10"/>
            <rFont val="Arial"/>
            <family val="2"/>
          </rPr>
          <t xml:space="preserve">Possible values:
</t>
        </r>
        <r>
          <rPr>
            <sz val="9"/>
            <color rgb="FF000000"/>
            <rFont val="Tahoma"/>
            <family val="2"/>
            <charset val="1"/>
          </rPr>
          <t xml:space="preserve">
Input : A Parameter value provided by you or supplied by the parent Recipe, 
Constant : Eequire to enter a constant value.
Expression:  An expression that calculates the Parameter value based on other Parameters. 
Rule: A Rule for Parameters of type Rule. The Rule must have the scope Recipe Management.</t>
        </r>
      </text>
      <mc:AlternateContent>
        <mc:Choice Requires="v2">
          <commentPr autoFill="true" autoScale="false" colHidden="false" locked="false" rowHidden="false" textHAlign="justify" textVAlign="top">
            <anchor moveWithCells="false" sizeWithCells="false">
              <xdr:from>
                <xdr:col>0</xdr:col>
                <xdr:colOff>204</xdr:colOff>
                <xdr:row>4</xdr:row>
                <xdr:rowOff>16</xdr:rowOff>
              </xdr:from>
              <xdr:to>
                <xdr:col>3</xdr:col>
                <xdr:colOff>36</xdr:colOff>
                <xdr:row>14</xdr:row>
                <xdr:rowOff>8</xdr:rowOff>
              </xdr:to>
            </anchor>
          </commentPr>
        </mc:Choice>
        <mc:Fallback/>
      </mc:AlternateContent>
    </comment>
    <comment ref="H1" authorId="0">
      <text>
        <r>
          <rPr>
            <sz val="10"/>
            <rFont val="Arial"/>
            <family val="2"/>
          </rPr>
          <t xml:space="preserve">Value must be:
</t>
        </r>
        <r>
          <rPr>
            <sz val="9"/>
            <color rgb="FF000000"/>
            <rFont val="Tahoma"/>
            <family val="2"/>
            <charset val="1"/>
          </rPr>
          <t xml:space="preserve">
Name of an existing rule in the system.</t>
        </r>
      </text>
      <mc:AlternateContent>
        <mc:Choice Requires="v2">
          <commentPr autoFill="true" autoScale="false" colHidden="false" locked="false" rowHidden="false" textHAlign="justify" textVAlign="top">
            <anchor moveWithCells="false" sizeWithCells="false">
              <xdr:from>
                <xdr:col>1</xdr:col>
                <xdr:colOff>56</xdr:colOff>
                <xdr:row>2</xdr:row>
                <xdr:rowOff>8</xdr:rowOff>
              </xdr:from>
              <xdr:to>
                <xdr:col>2</xdr:col>
                <xdr:colOff>40</xdr:colOff>
                <xdr:row>5</xdr:row>
                <xdr:rowOff>16</xdr:rowOff>
              </xdr:to>
            </anchor>
          </commentPr>
        </mc:Choice>
        <mc:Fallback/>
      </mc:AlternateContent>
    </comment>
  </commentList>
</comments>
</file>

<file path=xl/comments13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Luís Miguel Ponte</author>
  </authors>
  <commentList>
    <comment ref="A1" authorId="0">
      <text>
        <r>
          <rPr>
            <sz val="10"/>
            <rFont val="Arial"/>
            <family val="2"/>
          </rPr>
          <t xml:space="preserve">Value must be:
</t>
        </r>
        <r>
          <rPr>
            <sz val="9"/>
            <color rgb="FF000000"/>
            <rFont val="Tahoma"/>
            <family val="2"/>
            <charset val="1"/>
          </rPr>
          <t xml:space="preserve">
Name of an existing Recipe in the system.</t>
        </r>
      </text>
      <mc:AlternateContent>
        <mc:Choice Requires="v2">
          <commentPr autoFill="true" autoScale="false" colHidden="false" locked="false" rowHidden="false" textHAlign="justify" textVAlign="top">
            <anchor moveWithCells="false" sizeWithCells="false">
              <xdr:from>
                <xdr:col>0</xdr:col>
                <xdr:colOff>100</xdr:colOff>
                <xdr:row>7</xdr:row>
                <xdr:rowOff>0</xdr:rowOff>
              </xdr:from>
              <xdr:to>
                <xdr:col>1</xdr:col>
                <xdr:colOff>64</xdr:colOff>
                <xdr:row>10</xdr:row>
                <xdr:rowOff>8</xdr:rowOff>
              </xdr:to>
            </anchor>
          </commentPr>
        </mc:Choice>
        <mc:Fallback/>
      </mc:AlternateContent>
    </comment>
    <comment ref="B1" authorId="0">
      <text>
        <r>
          <rPr>
            <sz val="10"/>
            <rFont val="Arial"/>
            <family val="2"/>
          </rPr>
          <t xml:space="preserve">Value must be:
</t>
        </r>
        <r>
          <rPr>
            <sz val="9"/>
            <color rgb="FF000000"/>
            <rFont val="Tahoma"/>
            <family val="2"/>
            <charset val="1"/>
          </rPr>
          <t xml:space="preserve">
Name of an existing Recipe in the system.</t>
        </r>
      </text>
      <mc:AlternateContent>
        <mc:Choice Requires="v2">
          <commentPr autoFill="true" autoScale="false" colHidden="false" locked="false" rowHidden="false" textHAlign="justify" textVAlign="top">
            <anchor moveWithCells="false" sizeWithCells="false">
              <xdr:from>
                <xdr:col>0</xdr:col>
                <xdr:colOff>124</xdr:colOff>
                <xdr:row>4</xdr:row>
                <xdr:rowOff>0</xdr:rowOff>
              </xdr:from>
              <xdr:to>
                <xdr:col>1</xdr:col>
                <xdr:colOff>68</xdr:colOff>
                <xdr:row>7</xdr:row>
                <xdr:rowOff>8</xdr:rowOff>
              </xdr:to>
            </anchor>
          </commentPr>
        </mc:Choice>
        <mc:Fallback/>
      </mc:AlternateContent>
    </comment>
    <comment ref="C1" authorId="0">
      <text>
        <r>
          <rPr>
            <sz val="10"/>
            <rFont val="Arial"/>
            <family val="2"/>
          </rPr>
          <t xml:space="preserve">DisplayName must not be null and must be unique for all the subrecipes of a given recipe.</t>
        </r>
      </text>
      <mc:AlternateContent>
        <mc:Choice Requires="v2">
          <commentPr autoFill="true" autoScale="false" colHidden="false" locked="false" rowHidden="false" textHAlign="justify" textVAlign="top">
            <anchor moveWithCells="false" sizeWithCells="false">
              <xdr:from>
                <xdr:col>0</xdr:col>
                <xdr:colOff>88</xdr:colOff>
                <xdr:row>3</xdr:row>
                <xdr:rowOff>4</xdr:rowOff>
              </xdr:from>
              <xdr:to>
                <xdr:col>1</xdr:col>
                <xdr:colOff>80</xdr:colOff>
                <xdr:row>5</xdr:row>
                <xdr:rowOff>20</xdr:rowOff>
              </xdr:to>
            </anchor>
          </commentPr>
        </mc:Choice>
        <mc:Fallback/>
      </mc:AlternateContent>
    </comment>
  </commentList>
</comments>
</file>

<file path=xl/comments13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Luís Miguel Ponte</author>
  </authors>
  <commentList>
    <comment ref="A1" authorId="0">
      <text>
        <r>
          <rPr>
            <sz val="10"/>
            <rFont val="Arial"/>
            <family val="2"/>
          </rPr>
          <t xml:space="preserve">Value must be:
</t>
        </r>
        <r>
          <rPr>
            <sz val="9"/>
            <color rgb="FF000000"/>
            <rFont val="Tahoma"/>
            <family val="2"/>
            <charset val="1"/>
          </rPr>
          <t xml:space="preserve">
Name of an existing Recipe in the system</t>
        </r>
      </text>
      <mc:AlternateContent>
        <mc:Choice Requires="v2">
          <commentPr autoFill="true" autoScale="false" colHidden="false" locked="false" rowHidden="false" textHAlign="justify" textVAlign="top">
            <anchor moveWithCells="false" sizeWithCells="false">
              <xdr:from>
                <xdr:col>1</xdr:col>
                <xdr:colOff>56</xdr:colOff>
                <xdr:row>2</xdr:row>
                <xdr:rowOff>16</xdr:rowOff>
              </xdr:from>
              <xdr:to>
                <xdr:col>2</xdr:col>
                <xdr:colOff>24</xdr:colOff>
                <xdr:row>5</xdr:row>
                <xdr:rowOff>20</xdr:rowOff>
              </xdr:to>
            </anchor>
          </commentPr>
        </mc:Choice>
        <mc:Fallback/>
      </mc:AlternateContent>
    </comment>
    <comment ref="B1" authorId="0">
      <text>
        <r>
          <rPr>
            <sz val="10"/>
            <rFont val="Arial"/>
            <family val="2"/>
          </rPr>
          <t xml:space="preserve">Value must be:
</t>
        </r>
        <r>
          <rPr>
            <sz val="9"/>
            <color rgb="FF000000"/>
            <rFont val="Tahoma"/>
            <family val="2"/>
            <charset val="1"/>
          </rPr>
          <t xml:space="preserve">
DisplayName of an existing SubRecipe of the Recipe.
</t>
        </r>
      </text>
      <mc:AlternateContent>
        <mc:Choice Requires="v2">
          <commentPr autoFill="true" autoScale="false" colHidden="false" locked="false" rowHidden="false" textHAlign="justify" textVAlign="top">
            <anchor moveWithCells="false" sizeWithCells="false">
              <xdr:from>
                <xdr:col>0</xdr:col>
                <xdr:colOff>36</xdr:colOff>
                <xdr:row>2</xdr:row>
                <xdr:rowOff>16</xdr:rowOff>
              </xdr:from>
              <xdr:to>
                <xdr:col>1</xdr:col>
                <xdr:colOff>136</xdr:colOff>
                <xdr:row>5</xdr:row>
                <xdr:rowOff>20</xdr:rowOff>
              </xdr:to>
            </anchor>
          </commentPr>
        </mc:Choice>
        <mc:Fallback/>
      </mc:AlternateContent>
    </comment>
    <comment ref="C1" authorId="0">
      <text>
        <r>
          <rPr>
            <sz val="10"/>
            <rFont val="Arial"/>
            <family val="2"/>
          </rPr>
          <t xml:space="preserve">Value must be:
</t>
        </r>
        <r>
          <rPr>
            <sz val="9"/>
            <color rgb="FF000000"/>
            <rFont val="Tahoma"/>
            <family val="2"/>
            <charset val="1"/>
          </rPr>
          <t xml:space="preserve">
Name of an existing Parameter in the system</t>
        </r>
      </text>
      <mc:AlternateContent>
        <mc:Choice Requires="v2">
          <commentPr autoFill="true" autoScale="false" colHidden="false" locked="false" rowHidden="false" textHAlign="justify" textVAlign="top">
            <anchor moveWithCells="false" sizeWithCells="false">
              <xdr:from>
                <xdr:col>1</xdr:col>
                <xdr:colOff>136</xdr:colOff>
                <xdr:row>3</xdr:row>
                <xdr:rowOff>4</xdr:rowOff>
              </xdr:from>
              <xdr:to>
                <xdr:col>3</xdr:col>
                <xdr:colOff>48</xdr:colOff>
                <xdr:row>6</xdr:row>
                <xdr:rowOff>4</xdr:rowOff>
              </xdr:to>
            </anchor>
          </commentPr>
        </mc:Choice>
        <mc:Fallback/>
      </mc:AlternateContent>
    </comment>
  </commentList>
</comments>
</file>

<file path=xl/comments13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D1" authorId="0">
      <text>
        <r>
          <rPr>
            <sz val="10"/>
            <rFont val="Arial"/>
            <family val="2"/>
          </rPr>
          <t xml:space="preserve">Syntax:
</t>
        </r>
        <r>
          <rPr>
            <sz val="9"/>
            <color rgb="FF000000"/>
            <rFont val="Tahoma"/>
            <family val="2"/>
            <charset val="1"/>
          </rPr>
          <t xml:space="preserve">
Value from MaintenancePlanType Lookup Table</t>
        </r>
      </text>
      <mc:AlternateContent>
        <mc:Choice Requires="v2">
          <commentPr autoFill="true" autoScale="false" colHidden="false" locked="false" rowHidden="false" textHAlign="justify" textVAlign="top">
            <anchor moveWithCells="false" sizeWithCells="false">
              <xdr:from>
                <xdr:col>4</xdr:col>
                <xdr:colOff>44</xdr:colOff>
                <xdr:row>0</xdr:row>
                <xdr:rowOff>0</xdr:rowOff>
              </xdr:from>
              <xdr:to>
                <xdr:col>6</xdr:col>
                <xdr:colOff>36</xdr:colOff>
                <xdr:row>4</xdr:row>
                <xdr:rowOff>8</xdr:rowOff>
              </xdr:to>
            </anchor>
          </commentPr>
        </mc:Choice>
        <mc:Fallback/>
      </mc:AlternateContent>
    </comment>
  </commentList>
</comments>
</file>

<file path=xl/comments14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Brandão</author>
    <author>Manuel Maria Brandão</author>
  </authors>
  <commentList>
    <comment ref="C1" authorId="0">
      <text>
        <r>
          <rPr>
            <sz val="10"/>
            <rFont val="Arial"/>
            <family val="2"/>
          </rPr>
          <t xml:space="preserve">José Romeu Gonçalves:
</t>
        </r>
        <r>
          <rPr>
            <sz val="9"/>
            <color rgb="FF000000"/>
            <rFont val="Tahoma"/>
            <family val="2"/>
            <charset val="1"/>
          </rPr>
          <t xml:space="preserve">
Name of a maintenance Plan Activity within the Maintenance Plan</t>
        </r>
      </text>
      <mc:AlternateContent>
        <mc:Choice Requires="v2">
          <commentPr autoFill="true" autoScale="false" colHidden="false" locked="false" rowHidden="false" textHAlign="justify" textVAlign="top">
            <anchor moveWithCells="false" sizeWithCells="false">
              <xdr:from>
                <xdr:col>0</xdr:col>
                <xdr:colOff>60</xdr:colOff>
                <xdr:row>4</xdr:row>
                <xdr:rowOff>4</xdr:rowOff>
              </xdr:from>
              <xdr:to>
                <xdr:col>3</xdr:col>
                <xdr:colOff>60</xdr:colOff>
                <xdr:row>7</xdr:row>
                <xdr:rowOff>12</xdr:rowOff>
              </xdr:to>
            </anchor>
          </commentPr>
        </mc:Choice>
        <mc:Fallback/>
      </mc:AlternateContent>
    </comment>
    <comment ref="E1" authorId="2">
      <text>
        <r>
          <rPr>
            <sz val="10"/>
            <rFont val="Arial"/>
            <family val="2"/>
          </rPr>
          <t xml:space="preserve">Syntax:
</t>
        </r>
        <r>
          <rPr>
            <sz val="9"/>
            <color rgb="FF000000"/>
            <rFont val="Tahoma"/>
            <family val="2"/>
            <charset val="1"/>
          </rPr>
          <t xml:space="preserve">
Value from MaintenancePlanActivityType Lookup Table</t>
        </r>
      </text>
      <mc:AlternateContent>
        <mc:Choice Requires="v2">
          <commentPr autoFill="true" autoScale="false" colHidden="false" locked="false" rowHidden="false" textHAlign="justify" textVAlign="top">
            <anchor moveWithCells="false" sizeWithCells="false">
              <xdr:from>
                <xdr:col>3</xdr:col>
                <xdr:colOff>60</xdr:colOff>
                <xdr:row>3</xdr:row>
                <xdr:rowOff>4</xdr:rowOff>
              </xdr:from>
              <xdr:to>
                <xdr:col>6</xdr:col>
                <xdr:colOff>24</xdr:colOff>
                <xdr:row>7</xdr:row>
                <xdr:rowOff>8</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Persons that belong to this role can perform a particular  maintenance activity order
</t>
        </r>
      </text>
      <mc:AlternateContent>
        <mc:Choice Requires="v2">
          <commentPr autoFill="true" autoScale="false" colHidden="false" locked="false" rowHidden="false" textHAlign="justify" textVAlign="top">
            <anchor moveWithCells="false" sizeWithCells="false">
              <xdr:from>
                <xdr:col>5</xdr:col>
                <xdr:colOff>0</xdr:colOff>
                <xdr:row>3</xdr:row>
                <xdr:rowOff>4</xdr:rowOff>
              </xdr:from>
              <xdr:to>
                <xdr:col>6</xdr:col>
                <xdr:colOff>92</xdr:colOff>
                <xdr:row>7</xdr:row>
                <xdr:rowOff>4</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Persons that belong to this role can an Adhoc MAO
</t>
        </r>
      </text>
      <mc:AlternateContent>
        <mc:Choice Requires="v2">
          <commentPr autoFill="true" autoScale="false" colHidden="false" locked="false" rowHidden="false" textHAlign="justify" textVAlign="top">
            <anchor moveWithCells="false" sizeWithCells="false">
              <xdr:from>
                <xdr:col>5</xdr:col>
                <xdr:colOff>68</xdr:colOff>
                <xdr:row>3</xdr:row>
                <xdr:rowOff>8</xdr:rowOff>
              </xdr:from>
              <xdr:to>
                <xdr:col>7</xdr:col>
                <xdr:colOff>16</xdr:colOff>
                <xdr:row>6</xdr:row>
                <xdr:rowOff>20</xdr:rowOff>
              </xdr:to>
            </anchor>
          </commentPr>
        </mc:Choice>
        <mc:Fallback/>
      </mc:AlternateContent>
    </comment>
    <comment ref="J1" authorId="1">
      <text>
        <r>
          <rPr>
            <sz val="10"/>
            <rFont val="Arial"/>
            <family val="2"/>
          </rPr>
          <t xml:space="preserve">Name Of one existing 
LookupTable</t>
        </r>
      </text>
      <mc:AlternateContent>
        <mc:Choice Requires="v2">
          <commentPr autoFill="true" autoScale="false" colHidden="false" locked="false" rowHidden="false" textHAlign="justify" textVAlign="top">
            <anchor moveWithCells="false" sizeWithCells="false">
              <xdr:from>
                <xdr:col>7</xdr:col>
                <xdr:colOff>32</xdr:colOff>
                <xdr:row>2</xdr:row>
                <xdr:rowOff>0</xdr:rowOff>
              </xdr:from>
              <xdr:to>
                <xdr:col>9</xdr:col>
                <xdr:colOff>36</xdr:colOff>
                <xdr:row>3</xdr:row>
                <xdr:rowOff>16</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In case that the MaterialTypeRestrictionMode is Allow Specific, defines the specific Material Type that is allowed while Maintenance Orders of this type are open for the resource.</t>
        </r>
      </text>
      <mc:AlternateContent>
        <mc:Choice Requires="v2">
          <commentPr autoFill="true" autoScale="false" colHidden="false" locked="false" rowHidden="false" textHAlign="justify" textVAlign="top">
            <anchor moveWithCells="false" sizeWithCells="false">
              <xdr:from>
                <xdr:col>13</xdr:col>
                <xdr:colOff>32</xdr:colOff>
                <xdr:row>3</xdr:row>
                <xdr:rowOff>0</xdr:rowOff>
              </xdr:from>
              <xdr:to>
                <xdr:col>14</xdr:col>
                <xdr:colOff>84</xdr:colOff>
                <xdr:row>6</xdr:row>
                <xdr:rowOff>16</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If the Resource must be considered available for Scheduling for the duration of the maintenance</t>
        </r>
      </text>
      <mc:AlternateContent>
        <mc:Choice Requires="v2">
          <commentPr autoFill="true" autoScale="false" colHidden="false" locked="false" rowHidden="false" textHAlign="justify" textVAlign="top">
            <anchor moveWithCells="false" sizeWithCells="false">
              <xdr:from>
                <xdr:col>15</xdr:col>
                <xdr:colOff>36</xdr:colOff>
                <xdr:row>2</xdr:row>
                <xdr:rowOff>4</xdr:rowOff>
              </xdr:from>
              <xdr:to>
                <xdr:col>16</xdr:col>
                <xdr:colOff>112</xdr:colOff>
                <xdr:row>5</xdr:row>
                <xdr:rowOff>16</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To put a Resource / Container / Area / Material on hold in case the late due state is reached
</t>
        </r>
      </text>
      <mc:AlternateContent>
        <mc:Choice Requires="v2">
          <commentPr autoFill="true" autoScale="false" colHidden="false" locked="false" rowHidden="false" textHAlign="justify" textVAlign="top">
            <anchor moveWithCells="false" sizeWithCells="false">
              <xdr:from>
                <xdr:col>16</xdr:col>
                <xdr:colOff>20</xdr:colOff>
                <xdr:row>2</xdr:row>
                <xdr:rowOff>12</xdr:rowOff>
              </xdr:from>
              <xdr:to>
                <xdr:col>17</xdr:col>
                <xdr:colOff>124</xdr:colOff>
                <xdr:row>6</xdr:row>
                <xdr:rowOff>4</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Specify whether multiple concurrent instances of the same Ad-hoc are allowed for the same maintenance plan instance. </t>
        </r>
      </text>
      <mc:AlternateContent>
        <mc:Choice Requires="v2">
          <commentPr autoFill="true" autoScale="false" colHidden="false" locked="false" rowHidden="false" textHAlign="justify" textVAlign="top">
            <anchor moveWithCells="false" sizeWithCells="false">
              <xdr:from>
                <xdr:col>17</xdr:col>
                <xdr:colOff>168</xdr:colOff>
                <xdr:row>3</xdr:row>
                <xdr:rowOff>8</xdr:rowOff>
              </xdr:from>
              <xdr:to>
                <xdr:col>19</xdr:col>
                <xdr:colOff>100</xdr:colOff>
                <xdr:row>6</xdr:row>
                <xdr:rowOff>20</xdr:rowOff>
              </xdr:to>
            </anchor>
          </commentPr>
        </mc:Choice>
        <mc:Fallback/>
      </mc:AlternateContent>
    </comment>
    <comment ref="U1" authorId="2">
      <text>
        <r>
          <rPr>
            <sz val="10"/>
            <rFont val="Arial"/>
            <family val="2"/>
          </rPr>
          <t xml:space="preserve">Syntax:
</t>
        </r>
        <r>
          <rPr>
            <sz val="9"/>
            <color rgb="FF000000"/>
            <rFont val="Tahoma"/>
            <family val="2"/>
            <charset val="1"/>
          </rPr>
          <t xml:space="preserve">
Depend on the TimeDueScale
 Every TimeDueScale
If TimeDueScale is Hours and TimeDue is one
  Activity will run every hour</t>
        </r>
      </text>
      <mc:AlternateContent>
        <mc:Choice Requires="v2">
          <commentPr autoFill="true" autoScale="false" colHidden="false" locked="false" rowHidden="false" textHAlign="justify" textVAlign="top">
            <anchor moveWithCells="false" sizeWithCells="false">
              <xdr:from>
                <xdr:col>17</xdr:col>
                <xdr:colOff>168</xdr:colOff>
                <xdr:row>4</xdr:row>
                <xdr:rowOff>0</xdr:rowOff>
              </xdr:from>
              <xdr:to>
                <xdr:col>19</xdr:col>
                <xdr:colOff>100</xdr:colOff>
                <xdr:row>8</xdr:row>
                <xdr:rowOff>20</xdr:rowOff>
              </xdr:to>
            </anchor>
          </commentPr>
        </mc:Choice>
        <mc:Fallback/>
      </mc:AlternateContent>
    </comment>
    <comment ref="V1" authorId="2">
      <text>
        <r>
          <rPr>
            <sz val="10"/>
            <rFont val="Arial"/>
            <family val="2"/>
          </rPr>
          <t xml:space="preserve">Syntax:
</t>
        </r>
        <r>
          <rPr>
            <sz val="9"/>
            <color rgb="FF000000"/>
            <rFont val="Tahoma"/>
            <family val="2"/>
            <charset val="1"/>
          </rPr>
          <t xml:space="preserve">
Day of month
if TimeDueScale is Monthly. Between day 1 and 28
Days 29, 30 and 31 aren't possible (at the moment) because of February's month</t>
        </r>
      </text>
      <mc:AlternateContent>
        <mc:Choice Requires="v2">
          <commentPr autoFill="true" autoScale="false" colHidden="false" locked="false" rowHidden="false" textHAlign="justify" textVAlign="top">
            <anchor moveWithCells="false" sizeWithCells="false">
              <xdr:from>
                <xdr:col>22</xdr:col>
                <xdr:colOff>36</xdr:colOff>
                <xdr:row>4</xdr:row>
                <xdr:rowOff>0</xdr:rowOff>
              </xdr:from>
              <xdr:to>
                <xdr:col>24</xdr:col>
                <xdr:colOff>12</xdr:colOff>
                <xdr:row>8</xdr:row>
                <xdr:rowOff>20</xdr:rowOff>
              </xdr:to>
            </anchor>
          </commentPr>
        </mc:Choice>
        <mc:Fallback/>
      </mc:AlternateContent>
    </comment>
    <comment ref="W1" authorId="2">
      <text>
        <r>
          <rPr>
            <sz val="10"/>
            <rFont val="Arial"/>
            <family val="2"/>
          </rPr>
          <t xml:space="preserve">Syntax:
</t>
        </r>
        <r>
          <rPr>
            <sz val="9"/>
            <color rgb="FF000000"/>
            <rFont val="Tahoma"/>
            <family val="2"/>
            <charset val="1"/>
          </rPr>
          <t xml:space="preserve">
Possible Values
 - NotDefined
 - Sunday
 - Monday
 - Tuesday
 - Wednesday
 - Thursday
 - Friday
 - Saturday</t>
        </r>
      </text>
      <mc:AlternateContent>
        <mc:Choice Requires="v2">
          <commentPr autoFill="true" autoScale="false" colHidden="false" locked="false" rowHidden="false" textHAlign="justify" textVAlign="top">
            <anchor moveWithCells="false" sizeWithCells="false">
              <xdr:from>
                <xdr:col>22</xdr:col>
                <xdr:colOff>32</xdr:colOff>
                <xdr:row>3</xdr:row>
                <xdr:rowOff>12</xdr:rowOff>
              </xdr:from>
              <xdr:to>
                <xdr:col>23</xdr:col>
                <xdr:colOff>8</xdr:colOff>
                <xdr:row>12</xdr:row>
                <xdr:rowOff>16</xdr:rowOff>
              </xdr:to>
            </anchor>
          </commentPr>
        </mc:Choice>
        <mc:Fallback/>
      </mc:AlternateContent>
    </comment>
    <comment ref="X1" authorId="2">
      <text>
        <r>
          <rPr>
            <sz val="10"/>
            <rFont val="Arial"/>
            <family val="2"/>
          </rPr>
          <t xml:space="preserve">Syntax:
</t>
        </r>
        <r>
          <rPr>
            <sz val="9"/>
            <color rgb="FF000000"/>
            <rFont val="Tahoma"/>
            <family val="2"/>
            <charset val="1"/>
          </rPr>
          <t xml:space="preserve">
Time that will occur
From 0 To 23
Only the exact hour.</t>
        </r>
      </text>
      <mc:AlternateContent>
        <mc:Choice Requires="v2">
          <commentPr autoFill="true" autoScale="false" colHidden="false" locked="false" rowHidden="false" textHAlign="justify" textVAlign="top">
            <anchor moveWithCells="false" sizeWithCells="false">
              <xdr:from>
                <xdr:col>22</xdr:col>
                <xdr:colOff>84</xdr:colOff>
                <xdr:row>2</xdr:row>
                <xdr:rowOff>16</xdr:rowOff>
              </xdr:from>
              <xdr:to>
                <xdr:col>23</xdr:col>
                <xdr:colOff>88</xdr:colOff>
                <xdr:row>6</xdr:row>
                <xdr:rowOff>16</xdr:rowOff>
              </xdr:to>
            </anchor>
          </commentPr>
        </mc:Choice>
        <mc:Fallback/>
      </mc:AlternateContent>
    </comment>
    <comment ref="Z1" authorId="0">
      <text>
        <r>
          <rPr>
            <sz val="10"/>
            <rFont val="Arial"/>
            <family val="2"/>
          </rPr>
          <t xml:space="preserve">José Romeu Gonçalves:
</t>
        </r>
        <r>
          <rPr>
            <sz val="9"/>
            <color rgb="FF000000"/>
            <rFont val="Tahoma"/>
            <family val="2"/>
            <charset val="1"/>
          </rPr>
          <t xml:space="preserve">
Hours if TimeDueScale = Hours or days
Days of the others cases</t>
        </r>
      </text>
      <mc:AlternateContent>
        <mc:Choice Requires="v2">
          <commentPr autoFill="true" autoScale="false" colHidden="false" locked="false" rowHidden="false" textHAlign="justify" textVAlign="top">
            <anchor moveWithCells="false" sizeWithCells="false">
              <xdr:from>
                <xdr:col>23</xdr:col>
                <xdr:colOff>68</xdr:colOff>
                <xdr:row>1</xdr:row>
                <xdr:rowOff>16</xdr:rowOff>
              </xdr:from>
              <xdr:to>
                <xdr:col>25</xdr:col>
                <xdr:colOff>24</xdr:colOff>
                <xdr:row>9</xdr:row>
                <xdr:rowOff>4</xdr:rowOff>
              </xdr:to>
            </anchor>
          </commentPr>
        </mc:Choice>
        <mc:Fallback/>
      </mc:AlternateContent>
    </comment>
    <comment ref="AA1" authorId="0">
      <text>
        <r>
          <rPr>
            <sz val="10"/>
            <rFont val="Arial"/>
            <family val="2"/>
          </rPr>
          <t xml:space="preserve">José Romeu Gonçalves:
</t>
        </r>
        <r>
          <rPr>
            <sz val="9"/>
            <color rgb="FF000000"/>
            <rFont val="Tahoma"/>
            <family val="2"/>
            <charset val="1"/>
          </rPr>
          <t xml:space="preserve">
Hours if TimeDueScale = Hours or days
Days of the others cases</t>
        </r>
      </text>
      <mc:AlternateContent>
        <mc:Choice Requires="v2">
          <commentPr autoFill="true" autoScale="false" colHidden="false" locked="false" rowHidden="false" textHAlign="justify" textVAlign="top">
            <anchor moveWithCells="false" sizeWithCells="false">
              <xdr:from>
                <xdr:col>23</xdr:col>
                <xdr:colOff>100</xdr:colOff>
                <xdr:row>3</xdr:row>
                <xdr:rowOff>0</xdr:rowOff>
              </xdr:from>
              <xdr:to>
                <xdr:col>25</xdr:col>
                <xdr:colOff>84</xdr:colOff>
                <xdr:row>11</xdr:row>
                <xdr:rowOff>20</xdr:rowOff>
              </xdr:to>
            </anchor>
          </commentPr>
        </mc:Choice>
        <mc:Fallback/>
      </mc:AlternateContent>
    </comment>
    <comment ref="AB1" authorId="0">
      <text>
        <r>
          <rPr>
            <sz val="10"/>
            <rFont val="Arial"/>
            <family val="2"/>
          </rPr>
          <t xml:space="preserve">José Romeu Gonçalves:
</t>
        </r>
        <r>
          <rPr>
            <sz val="9"/>
            <color rgb="FF000000"/>
            <rFont val="Tahoma"/>
            <family val="2"/>
            <charset val="1"/>
          </rPr>
          <t xml:space="preserve">
The Schedule Mode. Depends on the working calendar and can be:
- Any Day
- Next Working Day: Schedules for the next working day in the calendar in case the scheduled day is a non-working day
- Previous Working Day: Schedules for the previous working day in the calendar in case the scheduled day is a nonworking day
</t>
        </r>
      </text>
      <mc:AlternateContent>
        <mc:Choice Requires="v2">
          <commentPr autoFill="true" autoScale="false" colHidden="false" locked="false" rowHidden="false" textHAlign="justify" textVAlign="top">
            <anchor moveWithCells="false" sizeWithCells="false">
              <xdr:from>
                <xdr:col>23</xdr:col>
                <xdr:colOff>40</xdr:colOff>
                <xdr:row>2</xdr:row>
                <xdr:rowOff>8</xdr:rowOff>
              </xdr:from>
              <xdr:to>
                <xdr:col>28</xdr:col>
                <xdr:colOff>108</xdr:colOff>
                <xdr:row>8</xdr:row>
                <xdr:rowOff>8</xdr:rowOff>
              </xdr:to>
            </anchor>
          </commentPr>
        </mc:Choice>
        <mc:Fallback/>
      </mc:AlternateContent>
    </comment>
    <comment ref="AC1" authorId="0">
      <text>
        <r>
          <rPr>
            <sz val="10"/>
            <rFont val="Arial"/>
            <family val="2"/>
          </rPr>
          <t xml:space="preserve">José Romeu Gonçalves:
</t>
        </r>
        <r>
          <rPr>
            <sz val="9"/>
            <color rgb="FF000000"/>
            <rFont val="Tahoma"/>
            <family val="2"/>
            <charset val="1"/>
          </rPr>
          <t xml:space="preserve">
Fixed: uses a fixed interval regardless of when the maintenance activity is performed. In this case it’s possible do specify a certain number of occurrences to Schedule.
Dependant:  Takes into account when the maintenance activity was performed to re-schedule the next occurrence. 
</t>
        </r>
      </text>
      <mc:AlternateContent>
        <mc:Choice Requires="v2">
          <commentPr autoFill="true" autoScale="false" colHidden="false" locked="false" rowHidden="false" textHAlign="justify" textVAlign="top">
            <anchor moveWithCells="false" sizeWithCells="false">
              <xdr:from>
                <xdr:col>23</xdr:col>
                <xdr:colOff>118</xdr:colOff>
                <xdr:row>3</xdr:row>
                <xdr:rowOff>16</xdr:rowOff>
              </xdr:from>
              <xdr:to>
                <xdr:col>29</xdr:col>
                <xdr:colOff>44</xdr:colOff>
                <xdr:row>8</xdr:row>
                <xdr:rowOff>20</xdr:rowOff>
              </xdr:to>
            </anchor>
          </commentPr>
        </mc:Choice>
        <mc:Fallback/>
      </mc:AlternateContent>
    </comment>
    <comment ref="AE1" authorId="0">
      <text>
        <r>
          <rPr>
            <sz val="10"/>
            <rFont val="Arial"/>
            <family val="2"/>
          </rPr>
          <t xml:space="preserve">José Romeu Gonçalves:
</t>
        </r>
        <r>
          <rPr>
            <sz val="9"/>
            <color rgb="FF000000"/>
            <rFont val="Tahoma"/>
            <family val="2"/>
            <charset val="1"/>
          </rPr>
          <t xml:space="preserve">
WI43588</t>
        </r>
      </text>
      <mc:AlternateContent>
        <mc:Choice Requires="v2">
          <commentPr autoFill="true" autoScale="false" colHidden="false" locked="false" rowHidden="false" textHAlign="justify" textVAlign="top">
            <anchor moveWithCells="false" sizeWithCells="false">
              <xdr:from>
                <xdr:col>30</xdr:col>
                <xdr:colOff>76</xdr:colOff>
                <xdr:row>4</xdr:row>
                <xdr:rowOff>0</xdr:rowOff>
              </xdr:from>
              <xdr:to>
                <xdr:col>31</xdr:col>
                <xdr:colOff>0</xdr:colOff>
                <xdr:row>6</xdr:row>
                <xdr:rowOff>16</xdr:rowOff>
              </xdr:to>
            </anchor>
          </commentPr>
        </mc:Choice>
        <mc:Fallback/>
      </mc:AlternateContent>
    </comment>
    <comment ref="AF1" authorId="0">
      <text>
        <r>
          <rPr>
            <sz val="10"/>
            <rFont val="Arial"/>
            <family val="2"/>
          </rPr>
          <t xml:space="preserve">José Romeu Gonçalves:
</t>
        </r>
        <r>
          <rPr>
            <sz val="9"/>
            <color rgb="FF000000"/>
            <rFont val="Tahoma"/>
            <family val="2"/>
            <charset val="1"/>
          </rPr>
          <t xml:space="preserve">
WI43588</t>
        </r>
      </text>
      <mc:AlternateContent>
        <mc:Choice Requires="v2">
          <commentPr autoFill="true" autoScale="false" colHidden="false" locked="false" rowHidden="false" textHAlign="justify" textVAlign="top">
            <anchor moveWithCells="false" sizeWithCells="false">
              <xdr:from>
                <xdr:col>31</xdr:col>
                <xdr:colOff>172</xdr:colOff>
                <xdr:row>3</xdr:row>
                <xdr:rowOff>8</xdr:rowOff>
              </xdr:from>
              <xdr:to>
                <xdr:col>32</xdr:col>
                <xdr:colOff>176</xdr:colOff>
                <xdr:row>6</xdr:row>
                <xdr:rowOff>4</xdr:rowOff>
              </xdr:to>
            </anchor>
          </commentPr>
        </mc:Choice>
        <mc:Fallback/>
      </mc:AlternateContent>
    </comment>
    <comment ref="AG1" authorId="0">
      <text>
        <r>
          <rPr>
            <sz val="10"/>
            <rFont val="Arial"/>
            <family val="2"/>
          </rPr>
          <t xml:space="preserve">José Romeu Gonçalves:
</t>
        </r>
        <r>
          <rPr>
            <sz val="9"/>
            <color rgb="FF000000"/>
            <rFont val="Tahoma"/>
            <family val="2"/>
            <charset val="1"/>
          </rPr>
          <t xml:space="preserve">
WI43588</t>
        </r>
      </text>
      <mc:AlternateContent>
        <mc:Choice Requires="v2">
          <commentPr autoFill="true" autoScale="false" colHidden="false" locked="false" rowHidden="false" textHAlign="justify" textVAlign="top">
            <anchor moveWithCells="false" sizeWithCells="false">
              <xdr:from>
                <xdr:col>32</xdr:col>
                <xdr:colOff>44</xdr:colOff>
                <xdr:row>3</xdr:row>
                <xdr:rowOff>4</xdr:rowOff>
              </xdr:from>
              <xdr:to>
                <xdr:col>33</xdr:col>
                <xdr:colOff>4</xdr:colOff>
                <xdr:row>6</xdr:row>
                <xdr:rowOff>4</xdr:rowOff>
              </xdr:to>
            </anchor>
          </commentPr>
        </mc:Choice>
        <mc:Fallback/>
      </mc:AlternateContent>
    </comment>
    <comment ref="AM1" authorId="2">
      <text>
        <r>
          <rPr>
            <sz val="10"/>
            <rFont val="Arial"/>
            <family val="2"/>
          </rPr>
          <t xml:space="preserve">Syntax:
</t>
        </r>
        <r>
          <rPr>
            <sz val="9"/>
            <color rgb="FF000000"/>
            <rFont val="Tahoma"/>
            <family val="2"/>
            <charset val="1"/>
          </rPr>
          <t xml:space="preserve">
Possible Values
CountOne: The maintenance counter is increased by one
CountQuantityOne: The maintenance the counter is increased by the first quantity
CountQuantityTwo: The maintenance counter is increased by the second quantity
CountExpression: The maintenance counter is increased by the quantity as returned by a flexible expression, such as:     $Resource.IncreaseAmount or $Material.Product.ExposureIntensity
</t>
        </r>
      </text>
      <mc:AlternateContent>
        <mc:Choice Requires="v2">
          <commentPr autoFill="true" autoScale="false" colHidden="false" locked="false" rowHidden="false" textHAlign="justify" textVAlign="top">
            <anchor moveWithCells="false" sizeWithCells="false">
              <xdr:from>
                <xdr:col>33</xdr:col>
                <xdr:colOff>181</xdr:colOff>
                <xdr:row>3</xdr:row>
                <xdr:rowOff>4</xdr:rowOff>
              </xdr:from>
              <xdr:to>
                <xdr:col>35</xdr:col>
                <xdr:colOff>104</xdr:colOff>
                <xdr:row>12</xdr:row>
                <xdr:rowOff>20</xdr:rowOff>
              </xdr:to>
            </anchor>
          </commentPr>
        </mc:Choice>
        <mc:Fallback/>
      </mc:AlternateContent>
    </comment>
    <comment ref="AO1" authorId="0">
      <text>
        <r>
          <rPr>
            <sz val="10"/>
            <rFont val="Arial"/>
            <family val="2"/>
          </rPr>
          <t xml:space="preserve">José Romeu Gonçalves:
</t>
        </r>
        <r>
          <rPr>
            <sz val="9"/>
            <color rgb="FF000000"/>
            <rFont val="Tahoma"/>
            <family val="2"/>
            <charset val="1"/>
          </rPr>
          <t xml:space="preserve">
A data from lokup Table: MaintenanceManagementEvent. Usually:
TrackIn
TrackOut 
or any State Transitions for the Resource State Model</t>
        </r>
      </text>
      <mc:AlternateContent>
        <mc:Choice Requires="v2">
          <commentPr autoFill="true" autoScale="false" colHidden="false" locked="false" rowHidden="false" textHAlign="justify" textVAlign="top">
            <anchor moveWithCells="false" sizeWithCells="false">
              <xdr:from>
                <xdr:col>38</xdr:col>
                <xdr:colOff>48</xdr:colOff>
                <xdr:row>2</xdr:row>
                <xdr:rowOff>8</xdr:rowOff>
              </xdr:from>
              <xdr:to>
                <xdr:col>42</xdr:col>
                <xdr:colOff>66</xdr:colOff>
                <xdr:row>8</xdr:row>
                <xdr:rowOff>4</xdr:rowOff>
              </xdr:to>
            </anchor>
          </commentPr>
        </mc:Choice>
        <mc:Fallback/>
      </mc:AlternateContent>
    </comment>
    <comment ref="AP1" authorId="0">
      <text>
        <r>
          <rPr>
            <sz val="10"/>
            <rFont val="Arial"/>
            <family val="2"/>
          </rPr>
          <t xml:space="preserve">José Romeu Gonçalves:
</t>
        </r>
        <r>
          <rPr>
            <sz val="9"/>
            <color rgb="FF000000"/>
            <rFont val="Tahoma"/>
            <family val="2"/>
            <charset val="1"/>
          </rPr>
          <t xml:space="preserve">
When automatic, it's not necessary to perform the Begin and Close Maintenance Activity Order operations, only the Perform Maintenance Activity Order.</t>
        </r>
      </text>
      <mc:AlternateContent>
        <mc:Choice Requires="v2">
          <commentPr autoFill="true" autoScale="false" colHidden="false" locked="false" rowHidden="false" textHAlign="justify" textVAlign="top">
            <anchor moveWithCells="false" sizeWithCells="false">
              <xdr:from>
                <xdr:col>39</xdr:col>
                <xdr:colOff>32</xdr:colOff>
                <xdr:row>3</xdr:row>
                <xdr:rowOff>0</xdr:rowOff>
              </xdr:from>
              <xdr:to>
                <xdr:col>42</xdr:col>
                <xdr:colOff>36</xdr:colOff>
                <xdr:row>7</xdr:row>
                <xdr:rowOff>4</xdr:rowOff>
              </xdr:to>
            </anchor>
          </commentPr>
        </mc:Choice>
        <mc:Fallback/>
      </mc:AlternateContent>
    </comment>
    <comment ref="AQ1" authorId="2">
      <text>
        <r>
          <rPr>
            <sz val="10"/>
            <rFont val="Arial"/>
            <family val="2"/>
          </rPr>
          <t xml:space="preserve">Syntax:
</t>
        </r>
        <r>
          <rPr>
            <sz val="9"/>
            <color rgb="FF000000"/>
            <rFont val="Tahoma"/>
            <family val="2"/>
            <charset val="1"/>
          </rPr>
          <t xml:space="preserve">
Valid checklist name of Scope Maintenance Management</t>
        </r>
      </text>
      <mc:AlternateContent>
        <mc:Choice Requires="v2">
          <commentPr autoFill="true" autoScale="false" colHidden="false" locked="false" rowHidden="false" textHAlign="justify" textVAlign="top">
            <anchor moveWithCells="false" sizeWithCells="false">
              <xdr:from>
                <xdr:col>40</xdr:col>
                <xdr:colOff>44</xdr:colOff>
                <xdr:row>2</xdr:row>
                <xdr:rowOff>4</xdr:rowOff>
              </xdr:from>
              <xdr:to>
                <xdr:col>41</xdr:col>
                <xdr:colOff>20</xdr:colOff>
                <xdr:row>5</xdr:row>
                <xdr:rowOff>12</xdr:rowOff>
              </xdr:to>
            </anchor>
          </commentPr>
        </mc:Choice>
        <mc:Fallback/>
      </mc:AlternateContent>
    </comment>
    <comment ref="AR1" authorId="1">
      <text>
        <r>
          <rPr>
            <sz val="10"/>
            <rFont val="Arial"/>
            <family val="2"/>
          </rPr>
          <t xml:space="preserve">Name of a valid DataCollection</t>
        </r>
      </text>
      <mc:AlternateContent>
        <mc:Choice Requires="v2">
          <commentPr autoFill="true" autoScale="false" colHidden="false" locked="false" rowHidden="false" textHAlign="justify" textVAlign="top">
            <anchor moveWithCells="false" sizeWithCells="false">
              <xdr:from>
                <xdr:col>40</xdr:col>
                <xdr:colOff>72</xdr:colOff>
                <xdr:row>2</xdr:row>
                <xdr:rowOff>16</xdr:rowOff>
              </xdr:from>
              <xdr:to>
                <xdr:col>41</xdr:col>
                <xdr:colOff>4</xdr:colOff>
                <xdr:row>3</xdr:row>
                <xdr:rowOff>20</xdr:rowOff>
              </xdr:to>
            </anchor>
          </commentPr>
        </mc:Choice>
        <mc:Fallback/>
      </mc:AlternateContent>
    </comment>
    <comment ref="AS1" authorId="1">
      <text>
        <r>
          <rPr>
            <sz val="10"/>
            <rFont val="Arial"/>
            <family val="2"/>
          </rPr>
          <t xml:space="preserve">Name of a valida DataCollectionLimitSet</t>
        </r>
      </text>
      <mc:AlternateContent>
        <mc:Choice Requires="v2">
          <commentPr autoFill="true" autoScale="false" colHidden="false" locked="false" rowHidden="false" textHAlign="justify" textVAlign="top">
            <anchor moveWithCells="false" sizeWithCells="false">
              <xdr:from>
                <xdr:col>40</xdr:col>
                <xdr:colOff>44</xdr:colOff>
                <xdr:row>3</xdr:row>
                <xdr:rowOff>8</xdr:rowOff>
              </xdr:from>
              <xdr:to>
                <xdr:col>41</xdr:col>
                <xdr:colOff>24</xdr:colOff>
                <xdr:row>4</xdr:row>
                <xdr:rowOff>16</xdr:rowOff>
              </xdr:to>
            </anchor>
          </commentPr>
        </mc:Choice>
        <mc:Fallback/>
      </mc:AlternateContent>
    </comment>
    <comment ref="AT1" authorId="2">
      <text>
        <r>
          <rPr>
            <sz val="10"/>
            <rFont val="Arial"/>
            <family val="2"/>
          </rPr>
          <t xml:space="preserve">Syntax:
</t>
        </r>
        <r>
          <rPr>
            <sz val="9"/>
            <color rgb="FF000000"/>
            <rFont val="Tahoma"/>
            <family val="2"/>
            <charset val="1"/>
          </rPr>
          <t xml:space="preserve">If MAO is sent to Rework
Valid checklist name of Scope Maintenance Management</t>
        </r>
      </text>
      <mc:AlternateContent>
        <mc:Choice Requires="v2">
          <commentPr autoFill="true" autoScale="false" colHidden="false" locked="false" rowHidden="false" textHAlign="justify" textVAlign="top">
            <anchor moveWithCells="false" sizeWithCells="false">
              <xdr:from>
                <xdr:col>40</xdr:col>
                <xdr:colOff>72</xdr:colOff>
                <xdr:row>3</xdr:row>
                <xdr:rowOff>0</xdr:rowOff>
              </xdr:from>
              <xdr:to>
                <xdr:col>42</xdr:col>
                <xdr:colOff>20</xdr:colOff>
                <xdr:row>6</xdr:row>
                <xdr:rowOff>8</xdr:rowOff>
              </xdr:to>
            </anchor>
          </commentPr>
        </mc:Choice>
        <mc:Fallback/>
      </mc:AlternateContent>
    </comment>
    <comment ref="AU1" authorId="1">
      <text>
        <r>
          <rPr>
            <sz val="10"/>
            <rFont val="Arial"/>
            <family val="2"/>
          </rPr>
          <t xml:space="preserve">If MAO is sent to Rework
Name of a valid DataCollection</t>
        </r>
      </text>
      <mc:AlternateContent>
        <mc:Choice Requires="v2">
          <commentPr autoFill="true" autoScale="false" colHidden="false" locked="false" rowHidden="false" textHAlign="justify" textVAlign="top">
            <anchor moveWithCells="false" sizeWithCells="false">
              <xdr:from>
                <xdr:col>43</xdr:col>
                <xdr:colOff>106</xdr:colOff>
                <xdr:row>3</xdr:row>
                <xdr:rowOff>0</xdr:rowOff>
              </xdr:from>
              <xdr:to>
                <xdr:col>44</xdr:col>
                <xdr:colOff>84</xdr:colOff>
                <xdr:row>4</xdr:row>
                <xdr:rowOff>16</xdr:rowOff>
              </xdr:to>
            </anchor>
          </commentPr>
        </mc:Choice>
        <mc:Fallback/>
      </mc:AlternateContent>
    </comment>
    <comment ref="AV1" authorId="1">
      <text>
        <r>
          <rPr>
            <sz val="10"/>
            <rFont val="Arial"/>
            <family val="2"/>
          </rPr>
          <t xml:space="preserve">If MAO is sent to Rework
Name of a valida DataCollectionLimitSet</t>
        </r>
      </text>
      <mc:AlternateContent>
        <mc:Choice Requires="v2">
          <commentPr autoFill="true" autoScale="false" colHidden="false" locked="false" rowHidden="false" textHAlign="justify" textVAlign="top">
            <anchor moveWithCells="false" sizeWithCells="false">
              <xdr:from>
                <xdr:col>46</xdr:col>
                <xdr:colOff>76</xdr:colOff>
                <xdr:row>1</xdr:row>
                <xdr:rowOff>8</xdr:rowOff>
              </xdr:from>
              <xdr:to>
                <xdr:col>48</xdr:col>
                <xdr:colOff>40</xdr:colOff>
                <xdr:row>3</xdr:row>
                <xdr:rowOff>8</xdr:rowOff>
              </xdr:to>
            </anchor>
          </commentPr>
        </mc:Choice>
        <mc:Fallback/>
      </mc:AlternateContent>
    </comment>
    <comment ref="AW1" authorId="0">
      <text>
        <r>
          <rPr>
            <sz val="10"/>
            <rFont val="Arial"/>
            <family val="2"/>
          </rPr>
          <t xml:space="preserve">José Romeu Gonçalves:
</t>
        </r>
        <r>
          <rPr>
            <sz val="9"/>
            <color rgb="FF000000"/>
            <rFont val="Tahoma"/>
            <family val="2"/>
            <charset val="1"/>
          </rPr>
          <t xml:space="preserve">
Bom of Scope = Parts</t>
        </r>
      </text>
      <mc:AlternateContent>
        <mc:Choice Requires="v2">
          <commentPr autoFill="true" autoScale="false" colHidden="false" locked="false" rowHidden="false" textHAlign="justify" textVAlign="top">
            <anchor moveWithCells="false" sizeWithCells="false">
              <xdr:from>
                <xdr:col>46</xdr:col>
                <xdr:colOff>108</xdr:colOff>
                <xdr:row>2</xdr:row>
                <xdr:rowOff>12</xdr:rowOff>
              </xdr:from>
              <xdr:to>
                <xdr:col>48</xdr:col>
                <xdr:colOff>40</xdr:colOff>
                <xdr:row>5</xdr:row>
                <xdr:rowOff>4</xdr:rowOff>
              </xdr:to>
            </anchor>
          </commentPr>
        </mc:Choice>
        <mc:Fallback/>
      </mc:AlternateContent>
    </comment>
    <comment ref="AX1" authorId="0">
      <text>
        <r>
          <rPr>
            <sz val="10"/>
            <rFont val="Arial"/>
            <family val="2"/>
          </rPr>
          <t xml:space="preserve">José Romeu Gonçalves:
</t>
        </r>
        <r>
          <rPr>
            <sz val="9"/>
            <color rgb="FF000000"/>
            <rFont val="Tahoma"/>
            <family val="2"/>
            <charset val="1"/>
          </rPr>
          <t xml:space="preserve">
Whether the parts to be used in the Maintenance Activity are restricted to the pre-defined BOM of Parts or not. If not, spares can be consumed without a defined BOM</t>
        </r>
      </text>
      <mc:AlternateContent>
        <mc:Choice Requires="v2">
          <commentPr autoFill="true" autoScale="false" colHidden="false" locked="false" rowHidden="false" textHAlign="justify" textVAlign="top">
            <anchor moveWithCells="false" sizeWithCells="false">
              <xdr:from>
                <xdr:col>46</xdr:col>
                <xdr:colOff>76</xdr:colOff>
                <xdr:row>3</xdr:row>
                <xdr:rowOff>4</xdr:rowOff>
              </xdr:from>
              <xdr:to>
                <xdr:col>48</xdr:col>
                <xdr:colOff>40</xdr:colOff>
                <xdr:row>7</xdr:row>
                <xdr:rowOff>12</xdr:rowOff>
              </xdr:to>
            </anchor>
          </commentPr>
        </mc:Choice>
        <mc:Fallback/>
      </mc:AlternateContent>
    </comment>
    <comment ref="BG1" authorId="2">
      <text>
        <r>
          <rPr>
            <sz val="10"/>
            <rFont val="Arial"/>
            <family val="2"/>
          </rPr>
          <t xml:space="preserve">Syntax:
</t>
        </r>
        <r>
          <rPr>
            <sz val="9"/>
            <color rgb="FF000000"/>
            <rFont val="Tahoma"/>
            <family val="2"/>
            <charset val="1"/>
          </rPr>
          <t xml:space="preserve">The rules tab defines actions which are triggered when the MAO schedule state reaches a particular schedule state.
Should have the following sintax
 Name[RuleName] EventType[EventType]
Where EventType accept the foolowing
Possible Values
 - TimeEarlyDue
 - TimeDue
 - TimeLateDue
 - UsageEarlyDue
 - UsageDue
 - UsageLateDue
</t>
        </r>
      </text>
      <mc:AlternateContent>
        <mc:Choice Requires="v2">
          <commentPr autoFill="true" autoScale="false" colHidden="false" locked="false" rowHidden="false" textHAlign="justify" textVAlign="top">
            <anchor moveWithCells="false" sizeWithCells="false">
              <xdr:from>
                <xdr:col>56</xdr:col>
                <xdr:colOff>44</xdr:colOff>
                <xdr:row>2</xdr:row>
                <xdr:rowOff>4</xdr:rowOff>
              </xdr:from>
              <xdr:to>
                <xdr:col>59</xdr:col>
                <xdr:colOff>12</xdr:colOff>
                <xdr:row>14</xdr:row>
                <xdr:rowOff>4</xdr:rowOff>
              </xdr:to>
            </anchor>
          </commentPr>
        </mc:Choice>
        <mc:Fallback/>
      </mc:AlternateContent>
    </comment>
  </commentList>
</comments>
</file>

<file path=xl/comments14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AcknowledgeAlways - the Chart is always displayed and must be acknowledged by the user
AcknowledgeOnViolationsOnly - the Chart is only displayed in case that there is a violation and must be acknowledged by the user
DisplayAlways - the Chart is always displayed and but does need to be acknowledged by the user
DisplayOnViolationsOnly - the Chart is only displayed in case that there is a violation but does need to be be acknowledged by the user
None - the Chart is never displayed</t>
        </r>
      </text>
      <mc:AlternateContent>
        <mc:Choice Requires="v2">
          <commentPr autoFill="true" autoScale="false" colHidden="false" locked="false" rowHidden="false" textHAlign="justify" textVAlign="top">
            <anchor moveWithCells="false" sizeWithCells="false">
              <xdr:from>
                <xdr:col>1</xdr:col>
                <xdr:colOff>28</xdr:colOff>
                <xdr:row>4</xdr:row>
                <xdr:rowOff>0</xdr:rowOff>
              </xdr:from>
              <xdr:to>
                <xdr:col>7</xdr:col>
                <xdr:colOff>124</xdr:colOff>
                <xdr:row>12</xdr:row>
                <xdr:rowOff>16</xdr:rowOff>
              </xdr:to>
            </anchor>
          </commentPr>
        </mc:Choice>
        <mc:Fallback/>
      </mc:AlternateContent>
    </comment>
  </commentList>
</comments>
</file>

<file path=xl/comments14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Maintenance Activity 
</t>
        </r>
      </text>
      <mc:AlternateContent>
        <mc:Choice Requires="v2">
          <commentPr autoFill="true" autoScale="false" colHidden="false" locked="false" rowHidden="false" textHAlign="justify" textVAlign="top">
            <anchor moveWithCells="false" sizeWithCells="false">
              <xdr:from>
                <xdr:col>0</xdr:col>
                <xdr:colOff>0</xdr:colOff>
                <xdr:row>3</xdr:row>
                <xdr:rowOff>0</xdr:rowOff>
              </xdr:from>
              <xdr:to>
                <xdr:col>1</xdr:col>
                <xdr:colOff>72</xdr:colOff>
                <xdr:row>5</xdr:row>
                <xdr:rowOff>16</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
Certification required</t>
        </r>
      </text>
      <mc:AlternateContent>
        <mc:Choice Requires="v2">
          <commentPr autoFill="true" autoScale="false" colHidden="false" locked="false" rowHidden="false" textHAlign="justify" textVAlign="top">
            <anchor moveWithCells="false" sizeWithCells="false">
              <xdr:from>
                <xdr:col>0</xdr:col>
                <xdr:colOff>76</xdr:colOff>
                <xdr:row>2</xdr:row>
                <xdr:rowOff>4</xdr:rowOff>
              </xdr:from>
              <xdr:to>
                <xdr:col>3</xdr:col>
                <xdr:colOff>4</xdr:colOff>
                <xdr:row>4</xdr:row>
                <xdr:rowOff>20</xdr:rowOff>
              </xdr:to>
            </anchor>
          </commentPr>
        </mc:Choice>
        <mc:Fallback/>
      </mc:AlternateContent>
    </comment>
  </commentList>
</comments>
</file>

<file path=xl/comments14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Either a Resource, Area, Container or Material (For Durable)</t>
        </r>
      </text>
      <mc:AlternateContent>
        <mc:Choice Requires="v2">
          <commentPr autoFill="true" autoScale="false" colHidden="false" locked="false" rowHidden="false" textHAlign="justify" textVAlign="top">
            <anchor moveWithCells="false" sizeWithCells="false">
              <xdr:from>
                <xdr:col>3</xdr:col>
                <xdr:colOff>4</xdr:colOff>
                <xdr:row>2</xdr:row>
                <xdr:rowOff>16</xdr:rowOff>
              </xdr:from>
              <xdr:to>
                <xdr:col>4</xdr:col>
                <xdr:colOff>76</xdr:colOff>
                <xdr:row>6</xdr:row>
                <xdr:rowOff>4</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Persons that belong to this role can manage all the  maintenance activity orders of a particular maintenance plan instance
</t>
        </r>
      </text>
      <mc:AlternateContent>
        <mc:Choice Requires="v2">
          <commentPr autoFill="true" autoScale="false" colHidden="false" locked="false" rowHidden="false" textHAlign="justify" textVAlign="top">
            <anchor moveWithCells="false" sizeWithCells="false">
              <xdr:from>
                <xdr:col>3</xdr:col>
                <xdr:colOff>76</xdr:colOff>
                <xdr:row>3</xdr:row>
                <xdr:rowOff>8</xdr:rowOff>
              </xdr:from>
              <xdr:to>
                <xdr:col>5</xdr:col>
                <xdr:colOff>32</xdr:colOff>
                <xdr:row>7</xdr:row>
                <xdr:rowOff>12</xdr:rowOff>
              </xdr:to>
            </anchor>
          </commentPr>
        </mc:Choice>
        <mc:Fallback/>
      </mc:AlternateContent>
    </comment>
  </commentList>
</comments>
</file>

<file path=xl/comments14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A1" authorId="0">
      <text>
        <r>
          <rPr>
            <sz val="10"/>
            <rFont val="Arial"/>
            <family val="2"/>
          </rPr>
          <t xml:space="preserve">Name of the Table to edit</t>
        </r>
      </text>
      <mc:AlternateContent>
        <mc:Choice Requires="v2">
          <commentPr autoFill="true" autoScale="false" colHidden="false" locked="false" rowHidden="false" textHAlign="justify" textVAlign="top">
            <anchor moveWithCells="false" sizeWithCells="false">
              <xdr:from>
                <xdr:col>0</xdr:col>
                <xdr:colOff>60</xdr:colOff>
                <xdr:row>4</xdr:row>
                <xdr:rowOff>4</xdr:rowOff>
              </xdr:from>
              <xdr:to>
                <xdr:col>1</xdr:col>
                <xdr:colOff>12</xdr:colOff>
                <xdr:row>5</xdr:row>
                <xdr:rowOff>4</xdr:rowOff>
              </xdr:to>
            </anchor>
          </commentPr>
        </mc:Choice>
        <mc:Fallback/>
      </mc:AlternateContent>
    </comment>
  </commentList>
</comments>
</file>

<file path=xl/comments14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A1" authorId="0">
      <text>
        <r>
          <rPr>
            <sz val="10"/>
            <rFont val="Arial"/>
            <family val="2"/>
          </rPr>
          <t xml:space="preserve">Name of the Table to edit</t>
        </r>
      </text>
      <mc:AlternateContent>
        <mc:Choice Requires="v2">
          <commentPr autoFill="true" autoScale="false" colHidden="false" locked="false" rowHidden="false" textHAlign="justify" textVAlign="top">
            <anchor moveWithCells="false" sizeWithCells="false">
              <xdr:from>
                <xdr:col>0</xdr:col>
                <xdr:colOff>28</xdr:colOff>
                <xdr:row>5</xdr:row>
                <xdr:rowOff>16</xdr:rowOff>
              </xdr:from>
              <xdr:to>
                <xdr:col>1</xdr:col>
                <xdr:colOff>4</xdr:colOff>
                <xdr:row>6</xdr:row>
                <xdr:rowOff>20</xdr:rowOff>
              </xdr:to>
            </anchor>
          </commentPr>
        </mc:Choice>
        <mc:Fallback/>
      </mc:AlternateContent>
    </comment>
    <comment ref="G1" authorId="0">
      <text>
        <r>
          <rPr>
            <sz val="10"/>
            <rFont val="Arial"/>
            <family val="2"/>
          </rPr>
          <t xml:space="preserve">Syntax:
</t>
        </r>
        <r>
          <rPr>
            <sz val="9"/>
            <color rgb="FF000000"/>
            <rFont val="Tahoma"/>
            <family val="2"/>
            <charset val="1"/>
          </rPr>
          <t xml:space="preserve">One of the following values:
 - None
 - EntityType
 - LookupValue
 - LookupTable
 - SmartTable
 - GenericTable
 - Enum
 - EntityDefinition
 - EntityVersion</t>
        </r>
      </text>
      <mc:AlternateContent>
        <mc:Choice Requires="v2">
          <commentPr autoFill="true" autoScale="false" colHidden="false" locked="false" rowHidden="false" textHAlign="justify" textVAlign="top">
            <anchor moveWithCells="false" sizeWithCells="false">
              <xdr:from>
                <xdr:col>6</xdr:col>
                <xdr:colOff>68</xdr:colOff>
                <xdr:row>0</xdr:row>
                <xdr:rowOff>0</xdr:rowOff>
              </xdr:from>
              <xdr:to>
                <xdr:col>8</xdr:col>
                <xdr:colOff>48</xdr:colOff>
                <xdr:row>3</xdr:row>
                <xdr:rowOff>20</xdr:rowOff>
              </xdr:to>
            </anchor>
          </commentPr>
        </mc:Choice>
        <mc:Fallback/>
      </mc:AlternateContent>
    </comment>
  </commentList>
</comments>
</file>

<file path=xl/comments15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From 
TransferOrderPriority Lookup Table</t>
        </r>
      </text>
      <mc:AlternateContent>
        <mc:Choice Requires="v2">
          <commentPr autoFill="true" autoScale="false" colHidden="false" locked="false" rowHidden="false" textHAlign="justify" textVAlign="top">
            <anchor moveWithCells="false" sizeWithCells="false">
              <xdr:from>
                <xdr:col>1</xdr:col>
                <xdr:colOff>24</xdr:colOff>
                <xdr:row>0</xdr:row>
                <xdr:rowOff>0</xdr:rowOff>
              </xdr:from>
              <xdr:to>
                <xdr:col>2</xdr:col>
                <xdr:colOff>132</xdr:colOff>
                <xdr:row>3</xdr:row>
                <xdr:rowOff>19</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In Minutes</t>
        </r>
      </text>
      <mc:AlternateContent>
        <mc:Choice Requires="v2">
          <commentPr autoFill="true" autoScale="false" colHidden="false" locked="false" rowHidden="false" textHAlign="justify" textVAlign="top">
            <anchor moveWithCells="false" sizeWithCells="false">
              <xdr:from>
                <xdr:col>2</xdr:col>
                <xdr:colOff>116</xdr:colOff>
                <xdr:row>0</xdr:row>
                <xdr:rowOff>0</xdr:rowOff>
              </xdr:from>
              <xdr:to>
                <xdr:col>4</xdr:col>
                <xdr:colOff>60</xdr:colOff>
                <xdr:row>3</xdr:row>
                <xdr:rowOff>19</xdr:rowOff>
              </xdr:to>
            </anchor>
          </commentPr>
        </mc:Choice>
        <mc:Fallback/>
      </mc:AlternateContent>
    </comment>
  </commentList>
</comments>
</file>

<file path=xl/comments15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From 
TransferOrderPriority Lookup Table</t>
        </r>
      </text>
      <mc:AlternateContent>
        <mc:Choice Requires="v2">
          <commentPr autoFill="true" autoScale="false" colHidden="false" locked="false" rowHidden="false" textHAlign="justify" textVAlign="top">
            <anchor moveWithCells="false" sizeWithCells="false">
              <xdr:from>
                <xdr:col>1</xdr:col>
                <xdr:colOff>24</xdr:colOff>
                <xdr:row>0</xdr:row>
                <xdr:rowOff>0</xdr:rowOff>
              </xdr:from>
              <xdr:to>
                <xdr:col>2</xdr:col>
                <xdr:colOff>132</xdr:colOff>
                <xdr:row>3</xdr:row>
                <xdr:rowOff>19</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In Minutes</t>
        </r>
      </text>
      <mc:AlternateContent>
        <mc:Choice Requires="v2">
          <commentPr autoFill="true" autoScale="false" colHidden="false" locked="false" rowHidden="false" textHAlign="justify" textVAlign="top">
            <anchor moveWithCells="false" sizeWithCells="false">
              <xdr:from>
                <xdr:col>2</xdr:col>
                <xdr:colOff>116</xdr:colOff>
                <xdr:row>0</xdr:row>
                <xdr:rowOff>0</xdr:rowOff>
              </xdr:from>
              <xdr:to>
                <xdr:col>4</xdr:col>
                <xdr:colOff>60</xdr:colOff>
                <xdr:row>3</xdr:row>
                <xdr:rowOff>19</xdr:rowOff>
              </xdr:to>
            </anchor>
          </commentPr>
        </mc:Choice>
        <mc:Fallback/>
      </mc:AlternateContent>
    </comment>
  </commentList>
</comments>
</file>

<file path=xl/comments15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A1" authorId="0">
      <text>
        <r>
          <rPr>
            <sz val="10"/>
            <rFont val="Arial"/>
            <family val="2"/>
          </rPr>
          <t xml:space="preserve">Name of the Table to edit</t>
        </r>
      </text>
      <mc:AlternateContent>
        <mc:Choice Requires="v2">
          <commentPr autoFill="true" autoScale="false" colHidden="false" locked="false" rowHidden="false" textHAlign="justify" textVAlign="top">
            <anchor moveWithCells="false" sizeWithCells="false">
              <xdr:from>
                <xdr:col>0</xdr:col>
                <xdr:colOff>36</xdr:colOff>
                <xdr:row>6</xdr:row>
                <xdr:rowOff>8</xdr:rowOff>
              </xdr:from>
              <xdr:to>
                <xdr:col>2</xdr:col>
                <xdr:colOff>68</xdr:colOff>
                <xdr:row>7</xdr:row>
                <xdr:rowOff>16</xdr:rowOff>
              </xdr:to>
            </anchor>
          </commentPr>
        </mc:Choice>
        <mc:Fallback/>
      </mc:AlternateContent>
    </comment>
  </commentList>
</comments>
</file>

<file path=xl/comments15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A1" authorId="0">
      <text>
        <r>
          <rPr>
            <sz val="10"/>
            <rFont val="Arial"/>
            <family val="2"/>
          </rPr>
          <t xml:space="preserve">Name of the Table to edit</t>
        </r>
      </text>
      <mc:AlternateContent>
        <mc:Choice Requires="v2">
          <commentPr autoFill="true" autoScale="false" colHidden="false" locked="false" rowHidden="false" textHAlign="justify" textVAlign="top">
            <anchor moveWithCells="false" sizeWithCells="false">
              <xdr:from>
                <xdr:col>0</xdr:col>
                <xdr:colOff>36</xdr:colOff>
                <xdr:row>3</xdr:row>
                <xdr:rowOff>8</xdr:rowOff>
              </xdr:from>
              <xdr:to>
                <xdr:col>2</xdr:col>
                <xdr:colOff>56</xdr:colOff>
                <xdr:row>4</xdr:row>
                <xdr:rowOff>12</xdr:rowOff>
              </xdr:to>
            </anchor>
          </commentPr>
        </mc:Choice>
        <mc:Fallback/>
      </mc:AlternateContent>
    </comment>
    <comment ref="H1" authorId="0">
      <text>
        <r>
          <rPr>
            <sz val="10"/>
            <rFont val="Arial"/>
            <family val="2"/>
          </rPr>
          <t xml:space="preserve">Syntax:
</t>
        </r>
        <r>
          <rPr>
            <sz val="9"/>
            <color rgb="FF000000"/>
            <rFont val="Tahoma"/>
            <family val="2"/>
            <charset val="1"/>
          </rPr>
          <t xml:space="preserve">One of the following values:
 - None
 - EntityType
 - LookupValue
 - LookupTable
 - SmartTable
 - GenericTable
 - Enum
 - EntityDefinition
 - EntityVersion</t>
        </r>
      </text>
      <mc:AlternateContent>
        <mc:Choice Requires="v2">
          <commentPr autoFill="true" autoScale="false" colHidden="false" locked="false" rowHidden="false" textHAlign="justify" textVAlign="top">
            <anchor moveWithCells="false" sizeWithCells="false">
              <xdr:from>
                <xdr:col>9</xdr:col>
                <xdr:colOff>40</xdr:colOff>
                <xdr:row>0</xdr:row>
                <xdr:rowOff>0</xdr:rowOff>
              </xdr:from>
              <xdr:to>
                <xdr:col>12</xdr:col>
                <xdr:colOff>20</xdr:colOff>
                <xdr:row>15</xdr:row>
                <xdr:rowOff>16</xdr:rowOff>
              </xdr:to>
            </anchor>
          </commentPr>
        </mc:Choice>
        <mc:Fallback/>
      </mc:AlternateContent>
    </comment>
  </commentList>
</comments>
</file>

<file path=xl/comments15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A1" authorId="1">
      <text>
        <r>
          <rPr>
            <sz val="10"/>
            <rFont val="Arial"/>
            <family val="2"/>
          </rPr>
          <t xml:space="preserve">Name of the Table to edit</t>
        </r>
      </text>
      <mc:AlternateContent>
        <mc:Choice Requires="v2">
          <commentPr autoFill="true" autoScale="false" colHidden="false" locked="false" rowHidden="false" textHAlign="justify" textVAlign="top">
            <anchor moveWithCells="false" sizeWithCells="false">
              <xdr:from>
                <xdr:col>0</xdr:col>
                <xdr:colOff>72</xdr:colOff>
                <xdr:row>4</xdr:row>
                <xdr:rowOff>8</xdr:rowOff>
              </xdr:from>
              <xdr:to>
                <xdr:col>2</xdr:col>
                <xdr:colOff>40</xdr:colOff>
                <xdr:row>5</xdr:row>
                <xdr:rowOff>16</xdr:rowOff>
              </xdr:to>
            </anchor>
          </commentPr>
        </mc:Choice>
        <mc:Fallback/>
      </mc:AlternateContent>
    </comment>
    <comment ref="B1" authorId="0">
      <text>
        <r>
          <rPr>
            <sz val="10"/>
            <rFont val="Arial"/>
            <family val="2"/>
          </rPr>
          <t xml:space="preserve">José Romeu Gonçalves:
</t>
        </r>
        <r>
          <rPr>
            <sz val="9"/>
            <color rgb="FF000000"/>
            <rFont val="Tahoma"/>
            <family val="2"/>
            <charset val="1"/>
          </rPr>
          <t xml:space="preserve">Only for IsKey Properties
Example: Property1+Property2+Property4</t>
        </r>
      </text>
      <mc:AlternateContent>
        <mc:Choice Requires="v2">
          <commentPr autoFill="true" autoScale="false" colHidden="false" locked="false" rowHidden="false" textHAlign="justify" textVAlign="top">
            <anchor moveWithCells="false" sizeWithCells="false">
              <xdr:from>
                <xdr:col>2</xdr:col>
                <xdr:colOff>20</xdr:colOff>
                <xdr:row>3</xdr:row>
                <xdr:rowOff>0</xdr:rowOff>
              </xdr:from>
              <xdr:to>
                <xdr:col>4</xdr:col>
                <xdr:colOff>48</xdr:colOff>
                <xdr:row>6</xdr:row>
                <xdr:rowOff>12</xdr:rowOff>
              </xdr:to>
            </anchor>
          </commentPr>
        </mc:Choice>
        <mc:Fallback/>
      </mc:AlternateContent>
    </comment>
  </commentList>
</comments>
</file>

<file path=xl/comments16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M1" authorId="0">
      <text>
        <r>
          <rPr>
            <sz val="10"/>
            <rFont val="Arial"/>
            <family val="2"/>
          </rPr>
          <t xml:space="preserve">José Romeu Gonçalves:
</t>
        </r>
        <r>
          <rPr>
            <sz val="9"/>
            <color rgb="FF000000"/>
            <rFont val="Tahoma"/>
            <family val="2"/>
            <charset val="1"/>
          </rPr>
          <t xml:space="preserve">
Checklist Scope MaterialTrackIn or General</t>
        </r>
      </text>
      <mc:AlternateContent>
        <mc:Choice Requires="v2">
          <commentPr autoFill="true" autoScale="false" colHidden="false" locked="false" rowHidden="false" textHAlign="justify" textVAlign="top">
            <anchor moveWithCells="false" sizeWithCells="false">
              <xdr:from>
                <xdr:col>6</xdr:col>
                <xdr:colOff>28</xdr:colOff>
                <xdr:row>10</xdr:row>
                <xdr:rowOff>16</xdr:rowOff>
              </xdr:from>
              <xdr:to>
                <xdr:col>10</xdr:col>
                <xdr:colOff>4</xdr:colOff>
                <xdr:row>13</xdr:row>
                <xdr:rowOff>8</xdr:rowOff>
              </xdr:to>
            </anchor>
          </commentPr>
        </mc:Choice>
        <mc:Fallback/>
      </mc:AlternateContent>
    </comment>
  </commentList>
</comments>
</file>

<file path=xl/comments16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M1" authorId="0">
      <text>
        <r>
          <rPr>
            <sz val="10"/>
            <rFont val="Arial"/>
            <family val="2"/>
          </rPr>
          <t xml:space="preserve">José Romeu Gonçalves:
</t>
        </r>
        <r>
          <rPr>
            <sz val="9"/>
            <color rgb="FF000000"/>
            <rFont val="Tahoma"/>
            <family val="2"/>
            <charset val="1"/>
          </rPr>
          <t xml:space="preserve">
if selected, must be valid for the selected Data Collection</t>
        </r>
      </text>
      <mc:AlternateContent>
        <mc:Choice Requires="v2">
          <commentPr autoFill="true" autoScale="false" colHidden="false" locked="false" rowHidden="false" textHAlign="justify" textVAlign="top">
            <anchor moveWithCells="false" sizeWithCells="false">
              <xdr:from>
                <xdr:col>10</xdr:col>
                <xdr:colOff>28</xdr:colOff>
                <xdr:row>3</xdr:row>
                <xdr:rowOff>4</xdr:rowOff>
              </xdr:from>
              <xdr:to>
                <xdr:col>12</xdr:col>
                <xdr:colOff>32</xdr:colOff>
                <xdr:row>6</xdr:row>
                <xdr:rowOff>8</xdr:rowOff>
              </xdr:to>
            </anchor>
          </commentPr>
        </mc:Choice>
        <mc:Fallback/>
      </mc:AlternateContent>
    </comment>
  </commentList>
</comments>
</file>

<file path=xl/comments16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Applies to the immediate parent Flow of the Step where the Material is currently, and not to the Top-Level Flow</t>
        </r>
      </text>
      <mc:AlternateContent>
        <mc:Choice Requires="v2">
          <commentPr autoFill="true" autoScale="false" colHidden="false" locked="false" rowHidden="false" textHAlign="justify" textVAlign="top">
            <anchor moveWithCells="false" sizeWithCells="false">
              <xdr:from>
                <xdr:col>5</xdr:col>
                <xdr:colOff>8</xdr:colOff>
                <xdr:row>5</xdr:row>
                <xdr:rowOff>8</xdr:rowOff>
              </xdr:from>
              <xdr:to>
                <xdr:col>9</xdr:col>
                <xdr:colOff>20</xdr:colOff>
                <xdr:row>8</xdr:row>
                <xdr:rowOff>20</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
From lookup table:  Document Group</t>
        </r>
      </text>
      <mc:AlternateContent>
        <mc:Choice Requires="v2">
          <commentPr autoFill="true" autoScale="false" colHidden="false" locked="false" rowHidden="false" textHAlign="justify" textVAlign="top">
            <anchor moveWithCells="false" sizeWithCells="false">
              <xdr:from>
                <xdr:col>11</xdr:col>
                <xdr:colOff>4</xdr:colOff>
                <xdr:row>8</xdr:row>
                <xdr:rowOff>0</xdr:rowOff>
              </xdr:from>
              <xdr:to>
                <xdr:col>14</xdr:col>
                <xdr:colOff>24</xdr:colOff>
                <xdr:row>10</xdr:row>
                <xdr:rowOff>16</xdr:rowOff>
              </xdr:to>
            </anchor>
          </commentPr>
        </mc:Choice>
        <mc:Fallback/>
      </mc:AlternateContent>
    </comment>
  </commentList>
</comments>
</file>

<file path=xl/comments17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L1" authorId="0">
      <text>
        <r>
          <rPr>
            <sz val="10"/>
            <rFont val="Arial"/>
            <family val="2"/>
          </rPr>
          <t xml:space="preserve">José Romeu Gonçalves:
</t>
        </r>
        <r>
          <rPr>
            <sz val="9"/>
            <color rgb="FF000000"/>
            <rFont val="Tahoma"/>
            <family val="2"/>
            <charset val="1"/>
          </rPr>
          <t xml:space="preserve">
A BOM of scope Durables</t>
        </r>
      </text>
      <mc:AlternateContent>
        <mc:Choice Requires="v2">
          <commentPr autoFill="true" autoScale="false" colHidden="false" locked="false" rowHidden="false" textHAlign="justify" textVAlign="top">
            <anchor moveWithCells="false" sizeWithCells="false">
              <xdr:from>
                <xdr:col>7</xdr:col>
                <xdr:colOff>56</xdr:colOff>
                <xdr:row>8</xdr:row>
                <xdr:rowOff>0</xdr:rowOff>
              </xdr:from>
              <xdr:to>
                <xdr:col>10</xdr:col>
                <xdr:colOff>16</xdr:colOff>
                <xdr:row>10</xdr:row>
                <xdr:rowOff>16</xdr:rowOff>
              </xdr:to>
            </anchor>
          </commentPr>
        </mc:Choice>
        <mc:Fallback/>
      </mc:AlternateContent>
    </comment>
  </commentList>
</comments>
</file>

<file path=xl/comments17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Applies to the immediate parent Flow of the Step where the Material is currently, and not to the Top-Level Flow</t>
        </r>
      </text>
      <mc:AlternateContent>
        <mc:Choice Requires="v2">
          <commentPr autoFill="true" autoScale="false" colHidden="false" locked="false" rowHidden="false" textHAlign="justify" textVAlign="top">
            <anchor moveWithCells="false" sizeWithCells="false">
              <xdr:from>
                <xdr:col>5</xdr:col>
                <xdr:colOff>24</xdr:colOff>
                <xdr:row>8</xdr:row>
                <xdr:rowOff>0</xdr:rowOff>
              </xdr:from>
              <xdr:to>
                <xdr:col>8</xdr:col>
                <xdr:colOff>44</xdr:colOff>
                <xdr:row>11</xdr:row>
                <xdr:rowOff>16</xdr:rowOff>
              </xdr:to>
            </anchor>
          </commentPr>
        </mc:Choice>
        <mc:Fallback/>
      </mc:AlternateContent>
    </comment>
  </commentList>
</comments>
</file>

<file path=xl/comments17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
Values are taken from a lookup table called PrinterType</t>
        </r>
      </text>
      <mc:AlternateContent>
        <mc:Choice Requires="v2">
          <commentPr autoFill="true" autoScale="false" colHidden="false" locked="false" rowHidden="false" textHAlign="justify" textVAlign="top">
            <anchor moveWithCells="false" sizeWithCells="false">
              <xdr:from>
                <xdr:col>1</xdr:col>
                <xdr:colOff>44</xdr:colOff>
                <xdr:row>6</xdr:row>
                <xdr:rowOff>16</xdr:rowOff>
              </xdr:from>
              <xdr:to>
                <xdr:col>4</xdr:col>
                <xdr:colOff>4</xdr:colOff>
                <xdr:row>10</xdr:row>
                <xdr:rowOff>4</xdr:rowOff>
              </xdr:to>
            </anchor>
          </commentPr>
        </mc:Choice>
        <mc:Fallback/>
      </mc:AlternateContent>
    </comment>
  </commentList>
</comments>
</file>

<file path=xl/comments17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the possible state transitions are retrieved from the Lookup Table ResourceChartStateTransitions</t>
        </r>
      </text>
      <mc:AlternateContent>
        <mc:Choice Requires="v2">
          <commentPr autoFill="true" autoScale="false" colHidden="false" locked="false" rowHidden="false" textHAlign="justify" textVAlign="top">
            <anchor moveWithCells="false" sizeWithCells="false">
              <xdr:from>
                <xdr:col>2</xdr:col>
                <xdr:colOff>28</xdr:colOff>
                <xdr:row>2</xdr:row>
                <xdr:rowOff>8</xdr:rowOff>
              </xdr:from>
              <xdr:to>
                <xdr:col>4</xdr:col>
                <xdr:colOff>60</xdr:colOff>
                <xdr:row>6</xdr:row>
                <xdr:rowOff>8</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None – Chart is never displayed
DisplayAlways – display Chart always
DisplayOnViolationsOnly – display Chart only when a violation occurs
AcknowledgeAlways – display Chart and require acknowledge always
AcknowledgeOnViolationsOnly – displays Chart and requires acknowledge on violations only</t>
        </r>
      </text>
      <mc:AlternateContent>
        <mc:Choice Requires="v2">
          <commentPr autoFill="true" autoScale="false" colHidden="false" locked="false" rowHidden="false" textHAlign="justify" textVAlign="top">
            <anchor moveWithCells="false" sizeWithCells="false">
              <xdr:from>
                <xdr:col>0</xdr:col>
                <xdr:colOff>60</xdr:colOff>
                <xdr:row>3</xdr:row>
                <xdr:rowOff>4</xdr:rowOff>
              </xdr:from>
              <xdr:to>
                <xdr:col>7</xdr:col>
                <xdr:colOff>56</xdr:colOff>
                <xdr:row>8</xdr:row>
                <xdr:rowOff>20</xdr:rowOff>
              </xdr:to>
            </anchor>
          </commentPr>
        </mc:Choice>
        <mc:Fallback/>
      </mc:AlternateContent>
    </comment>
  </commentList>
</comments>
</file>

<file path=xl/comments17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the possible state transitions are retrieved from the Lookup Table ResourceCheckListStateTransitions</t>
        </r>
      </text>
      <mc:AlternateContent>
        <mc:Choice Requires="v2">
          <commentPr autoFill="true" autoScale="false" colHidden="false" locked="false" rowHidden="false" textHAlign="justify" textVAlign="top">
            <anchor moveWithCells="false" sizeWithCells="false">
              <xdr:from>
                <xdr:col>1</xdr:col>
                <xdr:colOff>8</xdr:colOff>
                <xdr:row>4</xdr:row>
                <xdr:rowOff>0</xdr:rowOff>
              </xdr:from>
              <xdr:to>
                <xdr:col>4</xdr:col>
                <xdr:colOff>48</xdr:colOff>
                <xdr:row>7</xdr:row>
                <xdr:rowOff>8</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Checklist Scope ResourceTrackIn or General</t>
        </r>
      </text>
      <mc:AlternateContent>
        <mc:Choice Requires="v2">
          <commentPr autoFill="true" autoScale="false" colHidden="false" locked="false" rowHidden="false" textHAlign="justify" textVAlign="top">
            <anchor moveWithCells="false" sizeWithCells="false">
              <xdr:from>
                <xdr:col>3</xdr:col>
                <xdr:colOff>20</xdr:colOff>
                <xdr:row>3</xdr:row>
                <xdr:rowOff>4</xdr:rowOff>
              </xdr:from>
              <xdr:to>
                <xdr:col>5</xdr:col>
                <xdr:colOff>40</xdr:colOff>
                <xdr:row>6</xdr:row>
                <xdr:rowOff>8</xdr:rowOff>
              </xdr:to>
            </anchor>
          </commentPr>
        </mc:Choice>
        <mc:Fallback/>
      </mc:AlternateContent>
    </comment>
  </commentList>
</comments>
</file>

<file path=xl/comments17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the possible state transitions are retrieved from the Lookup Table ResourceDataCollectiontStateTransitions</t>
        </r>
      </text>
      <mc:AlternateContent>
        <mc:Choice Requires="v2">
          <commentPr autoFill="true" autoScale="false" colHidden="false" locked="false" rowHidden="false" textHAlign="justify" textVAlign="top">
            <anchor moveWithCells="false" sizeWithCells="false">
              <xdr:from>
                <xdr:col>3</xdr:col>
                <xdr:colOff>104</xdr:colOff>
                <xdr:row>10</xdr:row>
                <xdr:rowOff>8</xdr:rowOff>
              </xdr:from>
              <xdr:to>
                <xdr:col>6</xdr:col>
                <xdr:colOff>60</xdr:colOff>
                <xdr:row>13</xdr:row>
                <xdr:rowOff>16</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if selected, must be valid for the selected Data Collection</t>
        </r>
      </text>
      <mc:AlternateContent>
        <mc:Choice Requires="v2">
          <commentPr autoFill="true" autoScale="false" colHidden="false" locked="false" rowHidden="false" textHAlign="justify" textVAlign="top">
            <anchor moveWithCells="false" sizeWithCells="false">
              <xdr:from>
                <xdr:col>5</xdr:col>
                <xdr:colOff>36</xdr:colOff>
                <xdr:row>14</xdr:row>
                <xdr:rowOff>0</xdr:rowOff>
              </xdr:from>
              <xdr:to>
                <xdr:col>7</xdr:col>
                <xdr:colOff>20</xdr:colOff>
                <xdr:row>17</xdr:row>
                <xdr:rowOff>20</xdr:rowOff>
              </xdr:to>
            </anchor>
          </commentPr>
        </mc:Choice>
        <mc:Fallback/>
      </mc:AlternateContent>
    </comment>
  </commentList>
</comments>
</file>

<file path=xl/comments17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the possible state transitions are retrieved from the Lookup Table ResourceDocumentStateTransitions</t>
        </r>
      </text>
      <mc:AlternateContent>
        <mc:Choice Requires="v2">
          <commentPr autoFill="true" autoScale="false" colHidden="false" locked="false" rowHidden="false" textHAlign="justify" textVAlign="top">
            <anchor moveWithCells="false" sizeWithCells="false">
              <xdr:from>
                <xdr:col>4</xdr:col>
                <xdr:colOff>24</xdr:colOff>
                <xdr:row>15</xdr:row>
                <xdr:rowOff>0</xdr:rowOff>
              </xdr:from>
              <xdr:to>
                <xdr:col>8</xdr:col>
                <xdr:colOff>20</xdr:colOff>
                <xdr:row>18</xdr:row>
                <xdr:rowOff>16</xdr:rowOff>
              </xdr:to>
            </anchor>
          </commentPr>
        </mc:Choice>
        <mc:Fallback/>
      </mc:AlternateContent>
    </comment>
  </commentList>
</comments>
</file>

<file path=xl/comments18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G1" authorId="0">
      <text>
        <r>
          <rPr>
            <sz val="10"/>
            <rFont val="Arial"/>
            <family val="2"/>
          </rPr>
          <t xml:space="preserve">José Romeu Gonçalves:
</t>
        </r>
        <r>
          <rPr>
            <sz val="9"/>
            <color rgb="FF000000"/>
            <rFont val="Tahoma"/>
            <family val="2"/>
            <charset val="1"/>
          </rPr>
          <t xml:space="preserve">
0 represents 0% and 1 represents 100%</t>
        </r>
      </text>
      <mc:AlternateContent>
        <mc:Choice Requires="v2">
          <commentPr autoFill="true" autoScale="false" colHidden="false" locked="false" rowHidden="false" textHAlign="justify" textVAlign="top">
            <anchor moveWithCells="false" sizeWithCells="false">
              <xdr:from>
                <xdr:col>2</xdr:col>
                <xdr:colOff>40</xdr:colOff>
                <xdr:row>2</xdr:row>
                <xdr:rowOff>12</xdr:rowOff>
              </xdr:from>
              <xdr:to>
                <xdr:col>6</xdr:col>
                <xdr:colOff>40</xdr:colOff>
                <xdr:row>5</xdr:row>
                <xdr:rowOff>4</xdr:rowOff>
              </xdr:to>
            </anchor>
          </commentPr>
        </mc:Choice>
        <mc:Fallback/>
      </mc:AlternateContent>
    </comment>
  </commentList>
</comments>
</file>

<file path=xl/comments18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The Transfer Material Size to be considered � with how many units completed from the current Step can the following Step of the Material be scheduled.</t>
        </r>
      </text>
      <mc:AlternateContent>
        <mc:Choice Requires="v2">
          <commentPr autoFill="true" autoScale="false" colHidden="false" locked="false" rowHidden="false" textHAlign="justify" textVAlign="top">
            <anchor moveWithCells="false" sizeWithCells="false">
              <xdr:from>
                <xdr:col>4</xdr:col>
                <xdr:colOff>0</xdr:colOff>
                <xdr:row>5</xdr:row>
                <xdr:rowOff>12</xdr:rowOff>
              </xdr:from>
              <xdr:to>
                <xdr:col>5</xdr:col>
                <xdr:colOff>77</xdr:colOff>
                <xdr:row>9</xdr:row>
                <xdr:rowOff>12</xdr:rowOff>
              </xdr:to>
            </anchor>
          </commentPr>
        </mc:Choice>
        <mc:Fallback/>
      </mc:AlternateContent>
    </comment>
  </commentList>
</comments>
</file>

<file path=xl/comments18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Applies to the immediate parent Flow of the Step where the Material is currently, and not to the Top-Level Flow</t>
        </r>
      </text>
      <mc:AlternateContent>
        <mc:Choice Requires="v2">
          <commentPr autoFill="true" autoScale="false" colHidden="false" locked="false" rowHidden="false" textHAlign="justify" textVAlign="top">
            <anchor moveWithCells="false" sizeWithCells="false">
              <xdr:from>
                <xdr:col>5</xdr:col>
                <xdr:colOff>76</xdr:colOff>
                <xdr:row>11</xdr:row>
                <xdr:rowOff>8</xdr:rowOff>
              </xdr:from>
              <xdr:to>
                <xdr:col>10</xdr:col>
                <xdr:colOff>24</xdr:colOff>
                <xdr:row>14</xdr:row>
                <xdr:rowOff>16</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None – Chart is never displayed
DisplayAlways – display Chart always
DisplayOnViolationsOnly – display Chart only when a violation occurs
AcknowledgeAlways – display Chart and require acknowledge always
AcknowledgeOnViolationsOnly – displays Chart and requires acknowledge on violations only</t>
        </r>
      </text>
      <mc:AlternateContent>
        <mc:Choice Requires="v2">
          <commentPr autoFill="true" autoScale="false" colHidden="false" locked="false" rowHidden="false" textHAlign="justify" textVAlign="top">
            <anchor moveWithCells="false" sizeWithCells="false">
              <xdr:from>
                <xdr:col>11</xdr:col>
                <xdr:colOff>28</xdr:colOff>
                <xdr:row>12</xdr:row>
                <xdr:rowOff>8</xdr:rowOff>
              </xdr:from>
              <xdr:to>
                <xdr:col>18</xdr:col>
                <xdr:colOff>32</xdr:colOff>
                <xdr:row>18</xdr:row>
                <xdr:rowOff>4</xdr:rowOff>
              </xdr:to>
            </anchor>
          </commentPr>
        </mc:Choice>
        <mc:Fallback/>
      </mc:AlternateContent>
    </comment>
  </commentList>
</comments>
</file>

<file path=xl/comments18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Applies to the immediate parent Flow of the Step where the Material is currently, and not to the Top-Level Flow</t>
        </r>
      </text>
      <mc:AlternateContent>
        <mc:Choice Requires="v2">
          <commentPr autoFill="true" autoScale="false" colHidden="false" locked="false" rowHidden="false" textHAlign="justify" textVAlign="top">
            <anchor moveWithCells="false" sizeWithCells="false">
              <xdr:from>
                <xdr:col>1</xdr:col>
                <xdr:colOff>44</xdr:colOff>
                <xdr:row>3</xdr:row>
                <xdr:rowOff>16</xdr:rowOff>
              </xdr:from>
              <xdr:to>
                <xdr:col>5</xdr:col>
                <xdr:colOff>20</xdr:colOff>
                <xdr:row>7</xdr:row>
                <xdr:rowOff>20</xdr:rowOff>
              </xdr:to>
            </anchor>
          </commentPr>
        </mc:Choice>
        <mc:Fallback/>
      </mc:AlternateContent>
    </comment>
  </commentList>
</comments>
</file>

<file path=xl/comments18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D1" authorId="0">
      <text>
        <r>
          <rPr>
            <sz val="10"/>
            <rFont val="Arial"/>
            <family val="2"/>
          </rPr>
          <t xml:space="preserve">José Romeu Gonçalves:
</t>
        </r>
        <r>
          <rPr>
            <sz val="9"/>
            <color rgb="FF000000"/>
            <rFont val="Tahoma"/>
            <family val="2"/>
            <charset val="1"/>
          </rPr>
          <t xml:space="preserve">
Applies to the immediate parent Flow of the Step where the Material is currently, and not to the Top-Level Flow</t>
        </r>
      </text>
      <mc:AlternateContent>
        <mc:Choice Requires="v2">
          <commentPr autoFill="true" autoScale="false" colHidden="false" locked="false" rowHidden="false" textHAlign="justify" textVAlign="top">
            <anchor moveWithCells="false" sizeWithCells="false">
              <xdr:from>
                <xdr:col>5</xdr:col>
                <xdr:colOff>64</xdr:colOff>
                <xdr:row>9</xdr:row>
                <xdr:rowOff>4</xdr:rowOff>
              </xdr:from>
              <xdr:to>
                <xdr:col>7</xdr:col>
                <xdr:colOff>104</xdr:colOff>
                <xdr:row>13</xdr:row>
                <xdr:rowOff>4</xdr:rowOff>
              </xdr:to>
            </anchor>
          </commentPr>
        </mc:Choice>
        <mc:Fallback/>
      </mc:AlternateContent>
    </comment>
  </commentList>
</comments>
</file>

<file path=xl/comments18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E1" authorId="0">
      <text>
        <r>
          <rPr>
            <sz val="10"/>
            <rFont val="Arial"/>
            <family val="2"/>
          </rPr>
          <t xml:space="preserve">José Romeu Gonçalves:
</t>
        </r>
        <r>
          <rPr>
            <sz val="9"/>
            <color rgb="FF000000"/>
            <rFont val="Tahoma"/>
            <family val="2"/>
            <charset val="1"/>
          </rPr>
          <t xml:space="preserve">
Applies to the immediate parent Flow of the Step where the Material is currently, and not to the Top-Level Flow</t>
        </r>
      </text>
      <mc:AlternateContent>
        <mc:Choice Requires="v2">
          <commentPr autoFill="true" autoScale="false" colHidden="false" locked="false" rowHidden="false" textHAlign="justify" textVAlign="top">
            <anchor moveWithCells="false" sizeWithCells="false">
              <xdr:from>
                <xdr:col>6</xdr:col>
                <xdr:colOff>32</xdr:colOff>
                <xdr:row>13</xdr:row>
                <xdr:rowOff>4</xdr:rowOff>
              </xdr:from>
              <xdr:to>
                <xdr:col>10</xdr:col>
                <xdr:colOff>40</xdr:colOff>
                <xdr:row>16</xdr:row>
                <xdr:rowOff>12</xdr:rowOff>
              </xdr:to>
            </anchor>
          </commentPr>
        </mc:Choice>
        <mc:Fallback/>
      </mc:AlternateContent>
    </comment>
  </commentList>
</comments>
</file>

<file path=xl/comments18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B1" authorId="0">
      <text>
        <r>
          <rPr>
            <sz val="10"/>
            <rFont val="Arial"/>
            <family val="2"/>
          </rPr>
          <t xml:space="preserve">José Romeu Gonçalves:
</t>
        </r>
        <r>
          <rPr>
            <sz val="9"/>
            <color rgb="FF000000"/>
            <rFont val="Tahoma"/>
            <family val="2"/>
            <charset val="1"/>
          </rPr>
          <t xml:space="preserve">
From LookupTable InspectionSeverity</t>
        </r>
      </text>
      <mc:AlternateContent>
        <mc:Choice Requires="v2">
          <commentPr autoFill="true" autoScale="false" colHidden="false" locked="false" rowHidden="false" textHAlign="justify" textVAlign="top">
            <anchor moveWithCells="false" sizeWithCells="false">
              <xdr:from>
                <xdr:col>1</xdr:col>
                <xdr:colOff>48</xdr:colOff>
                <xdr:row>3</xdr:row>
                <xdr:rowOff>4</xdr:rowOff>
              </xdr:from>
              <xdr:to>
                <xdr:col>3</xdr:col>
                <xdr:colOff>12</xdr:colOff>
                <xdr:row>7</xdr:row>
                <xdr:rowOff>4</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
Applies to the immediate parent Flow of the Step where the Material is currently, and not to the Top-Level Flow</t>
        </r>
      </text>
      <mc:AlternateContent>
        <mc:Choice Requires="v2">
          <commentPr autoFill="true" autoScale="false" colHidden="false" locked="false" rowHidden="false" textHAlign="justify" textVAlign="top">
            <anchor moveWithCells="false" sizeWithCells="false">
              <xdr:from>
                <xdr:col>4</xdr:col>
                <xdr:colOff>20</xdr:colOff>
                <xdr:row>13</xdr:row>
                <xdr:rowOff>4</xdr:rowOff>
              </xdr:from>
              <xdr:to>
                <xdr:col>8</xdr:col>
                <xdr:colOff>76</xdr:colOff>
                <xdr:row>16</xdr:row>
                <xdr:rowOff>12</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From LookupTable InspectionPlanConfiguration</t>
        </r>
      </text>
      <mc:AlternateContent>
        <mc:Choice Requires="v2">
          <commentPr autoFill="true" autoScale="false" colHidden="false" locked="false" rowHidden="false" textHAlign="justify" textVAlign="top">
            <anchor moveWithCells="false" sizeWithCells="false">
              <xdr:from>
                <xdr:col>10</xdr:col>
                <xdr:colOff>84</xdr:colOff>
                <xdr:row>2</xdr:row>
                <xdr:rowOff>16</xdr:rowOff>
              </xdr:from>
              <xdr:to>
                <xdr:col>12</xdr:col>
                <xdr:colOff>64</xdr:colOff>
                <xdr:row>7</xdr:row>
                <xdr:rowOff>8</xdr:rowOff>
              </xdr:to>
            </anchor>
          </commentPr>
        </mc:Choice>
        <mc:Fallback/>
      </mc:AlternateContent>
    </comment>
  </commentList>
</comments>
</file>

<file path=xl/comments19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H1" authorId="0">
      <text>
        <r>
          <rPr>
            <sz val="10"/>
            <rFont val="Arial"/>
            <family val="2"/>
          </rPr>
          <t xml:space="preserve">José Romeu Gonçalves:
</t>
        </r>
        <r>
          <rPr>
            <sz val="9"/>
            <color rgb="FF000000"/>
            <rFont val="Tahoma"/>
            <family val="2"/>
            <charset val="1"/>
          </rPr>
          <t xml:space="preserve">The default quantity to track-out</t>
        </r>
      </text>
      <mc:AlternateContent>
        <mc:Choice Requires="v2">
          <commentPr autoFill="true" autoScale="false" colHidden="false" locked="false" rowHidden="false" textHAlign="justify" textVAlign="top">
            <anchor moveWithCells="false" sizeWithCells="false">
              <xdr:from>
                <xdr:col>9</xdr:col>
                <xdr:colOff>48</xdr:colOff>
                <xdr:row>0</xdr:row>
                <xdr:rowOff>0</xdr:rowOff>
              </xdr:from>
              <xdr:to>
                <xdr:col>10</xdr:col>
                <xdr:colOff>36</xdr:colOff>
                <xdr:row>3</xdr:row>
                <xdr:rowOff>20</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Whether the default quantity can be overridden</t>
        </r>
      </text>
      <mc:AlternateContent>
        <mc:Choice Requires="v2">
          <commentPr autoFill="true" autoScale="false" colHidden="false" locked="false" rowHidden="false" textHAlign="justify" textVAlign="top">
            <anchor moveWithCells="false" sizeWithCells="false">
              <xdr:from>
                <xdr:col>10</xdr:col>
                <xdr:colOff>52</xdr:colOff>
                <xdr:row>0</xdr:row>
                <xdr:rowOff>0</xdr:rowOff>
              </xdr:from>
              <xdr:to>
                <xdr:col>11</xdr:col>
                <xdr:colOff>60</xdr:colOff>
                <xdr:row>3</xdr:row>
                <xdr:rowOff>20</xdr:rowOff>
              </xdr:to>
            </anchor>
          </commentPr>
        </mc:Choice>
        <mc:Fallback/>
      </mc:AlternateContent>
    </comment>
    <comment ref="J1" authorId="0">
      <text>
        <r>
          <rPr>
            <sz val="10"/>
            <rFont val="Arial"/>
            <family val="2"/>
          </rPr>
          <t xml:space="preserve">José Romeu Gonçalves:
</t>
        </r>
        <r>
          <rPr>
            <sz val="9"/>
            <color rgb="FF000000"/>
            <rFont val="Tahoma"/>
            <family val="2"/>
            <charset val="1"/>
          </rPr>
          <t xml:space="preserve">Whether the Material to be Tracked-Out is the Parent Material or the Child</t>
        </r>
      </text>
      <mc:AlternateContent>
        <mc:Choice Requires="v2">
          <commentPr autoFill="true" autoScale="false" colHidden="false" locked="false" rowHidden="false" textHAlign="justify" textVAlign="top">
            <anchor moveWithCells="false" sizeWithCells="false">
              <xdr:from>
                <xdr:col>12</xdr:col>
                <xdr:colOff>4</xdr:colOff>
                <xdr:row>0</xdr:row>
                <xdr:rowOff>0</xdr:rowOff>
              </xdr:from>
              <xdr:to>
                <xdr:col>14</xdr:col>
                <xdr:colOff>20</xdr:colOff>
                <xdr:row>3</xdr:row>
                <xdr:rowOff>20</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Whether losses are incurred on the material that is tracked-out or the one who stays</t>
        </r>
      </text>
      <mc:AlternateContent>
        <mc:Choice Requires="v2">
          <commentPr autoFill="true" autoScale="false" colHidden="false" locked="false" rowHidden="false" textHAlign="justify" textVAlign="top">
            <anchor moveWithCells="false" sizeWithCells="false">
              <xdr:from>
                <xdr:col>14</xdr:col>
                <xdr:colOff>16</xdr:colOff>
                <xdr:row>0</xdr:row>
                <xdr:rowOff>0</xdr:rowOff>
              </xdr:from>
              <xdr:to>
                <xdr:col>16</xdr:col>
                <xdr:colOff>32</xdr:colOff>
                <xdr:row>3</xdr:row>
                <xdr:rowOff>20</xdr:rowOff>
              </xdr:to>
            </anchor>
          </commentPr>
        </mc:Choice>
        <mc:Fallback/>
      </mc:AlternateContent>
    </comment>
  </commentList>
</comments>
</file>

<file path=xl/comments19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C1" authorId="0">
      <text>
        <r>
          <rPr>
            <sz val="10"/>
            <rFont val="Arial"/>
            <family val="2"/>
          </rPr>
          <t xml:space="preserve">José Romeu Gonçalves:
</t>
        </r>
        <r>
          <rPr>
            <sz val="9"/>
            <color rgb="FF000000"/>
            <rFont val="Tahoma"/>
            <family val="2"/>
            <charset val="1"/>
          </rPr>
          <t xml:space="preserve">
Value From Lookup Table Material Time Constraint From Operations</t>
        </r>
      </text>
      <mc:AlternateContent>
        <mc:Choice Requires="v2">
          <commentPr autoFill="true" autoScale="false" colHidden="false" locked="false" rowHidden="false" textHAlign="justify" textVAlign="top">
            <anchor moveWithCells="false" sizeWithCells="false">
              <xdr:from>
                <xdr:col>1</xdr:col>
                <xdr:colOff>148</xdr:colOff>
                <xdr:row>2</xdr:row>
                <xdr:rowOff>16</xdr:rowOff>
              </xdr:from>
              <xdr:to>
                <xdr:col>3</xdr:col>
                <xdr:colOff>56</xdr:colOff>
                <xdr:row>6</xdr:row>
                <xdr:rowOff>4</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Value From Lookup Table Material Time Constraint To Operations</t>
        </r>
      </text>
      <mc:AlternateContent>
        <mc:Choice Requires="v2">
          <commentPr autoFill="true" autoScale="false" colHidden="false" locked="false" rowHidden="false" textHAlign="justify" textVAlign="top">
            <anchor moveWithCells="false" sizeWithCells="false">
              <xdr:from>
                <xdr:col>5</xdr:col>
                <xdr:colOff>28</xdr:colOff>
                <xdr:row>2</xdr:row>
                <xdr:rowOff>8</xdr:rowOff>
              </xdr:from>
              <xdr:to>
                <xdr:col>7</xdr:col>
                <xdr:colOff>112</xdr:colOff>
                <xdr:row>5</xdr:row>
                <xdr:rowOff>16</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whether the Time Constraint should be removed after it is tested and passed successfully to prevent the Warning and Limit rules from firing</t>
        </r>
      </text>
      <mc:AlternateContent>
        <mc:Choice Requires="v2">
          <commentPr autoFill="true" autoScale="false" colHidden="false" locked="false" rowHidden="false" textHAlign="justify" textVAlign="top">
            <anchor moveWithCells="false" sizeWithCells="false">
              <xdr:from>
                <xdr:col>10</xdr:col>
                <xdr:colOff>56</xdr:colOff>
                <xdr:row>3</xdr:row>
                <xdr:rowOff>12</xdr:rowOff>
              </xdr:from>
              <xdr:to>
                <xdr:col>13</xdr:col>
                <xdr:colOff>80</xdr:colOff>
                <xdr:row>8</xdr:row>
                <xdr:rowOff>8</xdr:rowOff>
              </xdr:to>
            </anchor>
          </commentPr>
        </mc:Choice>
        <mc:Fallback/>
      </mc:AlternateContent>
    </comment>
  </commentList>
</comments>
</file>

<file path=xl/comments19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ProductionOrderType</t>
        </r>
      </text>
      <mc:AlternateContent>
        <mc:Choice Requires="v2">
          <commentPr autoFill="true" autoScale="false" colHidden="false" locked="false" rowHidden="false" textHAlign="justify" textVAlign="top">
            <anchor moveWithCells="false" sizeWithCells="false">
              <xdr:from>
                <xdr:col>5</xdr:col>
                <xdr:colOff>0</xdr:colOff>
                <xdr:row>9</xdr:row>
                <xdr:rowOff>0</xdr:rowOff>
              </xdr:from>
              <xdr:to>
                <xdr:col>9</xdr:col>
                <xdr:colOff>60</xdr:colOff>
                <xdr:row>10</xdr:row>
                <xdr:rowOff>16</xdr:rowOff>
              </xdr:to>
            </anchor>
          </commentPr>
        </mc:Choice>
        <mc:Fallback/>
      </mc:AlternateContent>
    </comment>
    <comment ref="K1" authorId="1">
      <text>
        <r>
          <rPr>
            <sz val="10"/>
            <rFont val="Arial"/>
            <family val="2"/>
          </rPr>
          <t xml:space="preserve">Value Must be:
</t>
        </r>
        <r>
          <rPr>
            <sz val="9"/>
            <color rgb="FF000000"/>
            <rFont val="Tahoma"/>
            <family val="2"/>
            <charset val="1"/>
          </rPr>
          <t xml:space="preserve">Existing Facility Name</t>
        </r>
      </text>
      <mc:AlternateContent>
        <mc:Choice Requires="v2">
          <commentPr autoFill="true" autoScale="false" colHidden="false" locked="false" rowHidden="false" textHAlign="justify" textVAlign="top">
            <anchor moveWithCells="false" sizeWithCells="false">
              <xdr:from>
                <xdr:col>9</xdr:col>
                <xdr:colOff>60</xdr:colOff>
                <xdr:row>3</xdr:row>
                <xdr:rowOff>8</xdr:rowOff>
              </xdr:from>
              <xdr:to>
                <xdr:col>11</xdr:col>
                <xdr:colOff>52</xdr:colOff>
                <xdr:row>5</xdr:row>
                <xdr:rowOff>16</xdr:rowOff>
              </xdr:to>
            </anchor>
          </commentPr>
        </mc:Choice>
        <mc:Fallback/>
      </mc:AlternateContent>
    </comment>
    <comment ref="L1" authorId="1">
      <text>
        <r>
          <rPr>
            <sz val="10"/>
            <rFont val="Arial"/>
            <family val="2"/>
          </rPr>
          <t xml:space="preserve">Value Must be:
</t>
        </r>
        <r>
          <rPr>
            <sz val="9"/>
            <color rgb="FF000000"/>
            <rFont val="Tahoma"/>
            <family val="2"/>
            <charset val="1"/>
          </rPr>
          <t xml:space="preserve">Existing Product Name</t>
        </r>
      </text>
      <mc:AlternateContent>
        <mc:Choice Requires="v2">
          <commentPr autoFill="true" autoScale="false" colHidden="false" locked="false" rowHidden="false" textHAlign="justify" textVAlign="top">
            <anchor moveWithCells="false" sizeWithCells="false">
              <xdr:from>
                <xdr:col>7</xdr:col>
                <xdr:colOff>56</xdr:colOff>
                <xdr:row>8</xdr:row>
                <xdr:rowOff>8</xdr:rowOff>
              </xdr:from>
              <xdr:to>
                <xdr:col>9</xdr:col>
                <xdr:colOff>44</xdr:colOff>
                <xdr:row>10</xdr:row>
                <xdr:rowOff>20</xdr:rowOff>
              </xdr:to>
            </anchor>
          </commentPr>
        </mc:Choice>
        <mc:Fallback/>
      </mc:AlternateContent>
    </comment>
    <comment ref="V1" authorId="0">
      <text>
        <r>
          <rPr>
            <sz val="10"/>
            <rFont val="Arial"/>
            <family val="2"/>
          </rPr>
          <t xml:space="preserve">José Romeu Gonçalves:
</t>
        </r>
        <r>
          <rPr>
            <sz val="9"/>
            <color rgb="FF000000"/>
            <rFont val="Tahoma"/>
            <family val="2"/>
            <charset val="1"/>
          </rPr>
          <t xml:space="preserve">
Specify whether the Production Order must be included in Schedules of type Planning.”“Include in planning” will enable to Start PO: Automatically Release PO and Automatically Create the materials according to the Product Planning Properties (Yield, Maximum Material Size, Material Form and Type)
</t>
        </r>
      </text>
      <mc:AlternateContent>
        <mc:Choice Requires="v2">
          <commentPr autoFill="true" autoScale="false" colHidden="false" locked="false" rowHidden="false" textHAlign="justify" textVAlign="top">
            <anchor moveWithCells="false" sizeWithCells="false">
              <xdr:from>
                <xdr:col>12</xdr:col>
                <xdr:colOff>344</xdr:colOff>
                <xdr:row>11</xdr:row>
                <xdr:rowOff>4</xdr:rowOff>
              </xdr:from>
              <xdr:to>
                <xdr:col>16</xdr:col>
                <xdr:colOff>52</xdr:colOff>
                <xdr:row>16</xdr:row>
                <xdr:rowOff>16</xdr:rowOff>
              </xdr:to>
            </anchor>
          </commentPr>
        </mc:Choice>
        <mc:Fallback/>
      </mc:AlternateContent>
    </comment>
    <comment ref="W1" authorId="0">
      <text>
        <r>
          <rPr>
            <sz val="10"/>
            <rFont val="Arial"/>
            <family val="2"/>
          </rPr>
          <t xml:space="preserve">José Romeu Gonçalves:
</t>
        </r>
        <r>
          <rPr>
            <sz val="9"/>
            <color rgb="FF000000"/>
            <rFont val="Tahoma"/>
            <family val="2"/>
            <charset val="1"/>
          </rPr>
          <t xml:space="preserve">
Available if previous option is set.. In case that the Production Order is marked to be included in Planning, specify whether the BOM explosion must take place for the Production Order. This option is also taken into consideration when performing the Start Production Order operation
To recursively start also Materials for the sub-components according to the BOMs defined for the Production Order Product standard Flow</t>
        </r>
      </text>
      <mc:AlternateContent>
        <mc:Choice Requires="v2">
          <commentPr autoFill="true" autoScale="false" colHidden="false" locked="false" rowHidden="false" textHAlign="justify" textVAlign="top">
            <anchor moveWithCells="false" sizeWithCells="false">
              <xdr:from>
                <xdr:col>15</xdr:col>
                <xdr:colOff>52</xdr:colOff>
                <xdr:row>10</xdr:row>
                <xdr:rowOff>12</xdr:rowOff>
              </xdr:from>
              <xdr:to>
                <xdr:col>19</xdr:col>
                <xdr:colOff>12</xdr:colOff>
                <xdr:row>16</xdr:row>
                <xdr:rowOff>20</xdr:rowOff>
              </xdr:to>
            </anchor>
          </commentPr>
        </mc:Choice>
        <mc:Fallback/>
      </mc:AlternateContent>
    </comment>
    <comment ref="X1" authorId="0">
      <text>
        <r>
          <rPr>
            <sz val="10"/>
            <rFont val="Arial"/>
            <family val="2"/>
          </rPr>
          <t xml:space="preserve">José Romeu Gonçalves:
</t>
        </r>
        <r>
          <rPr>
            <sz val="9"/>
            <color rgb="FF000000"/>
            <rFont val="Tahoma"/>
            <family val="2"/>
            <charset val="1"/>
          </rPr>
          <t xml:space="preserve">
whether the system must enforce that all the materials that are associated with the Production Order belong to the reverse Product Sub-Products tree of the Production Order Product</t>
        </r>
      </text>
      <mc:AlternateContent>
        <mc:Choice Requires="v2">
          <commentPr autoFill="true" autoScale="false" colHidden="false" locked="false" rowHidden="false" textHAlign="justify" textVAlign="top">
            <anchor moveWithCells="false" sizeWithCells="false">
              <xdr:from>
                <xdr:col>16</xdr:col>
                <xdr:colOff>28</xdr:colOff>
                <xdr:row>15</xdr:row>
                <xdr:rowOff>16</xdr:rowOff>
              </xdr:from>
              <xdr:to>
                <xdr:col>19</xdr:col>
                <xdr:colOff>100</xdr:colOff>
                <xdr:row>19</xdr:row>
                <xdr:rowOff>16</xdr:rowOff>
              </xdr:to>
            </anchor>
          </commentPr>
        </mc:Choice>
        <mc:Fallback/>
      </mc:AlternateContent>
    </comment>
    <comment ref="Y1" authorId="0">
      <text>
        <r>
          <rPr>
            <sz val="10"/>
            <rFont val="Arial"/>
            <family val="2"/>
          </rPr>
          <t xml:space="preserve">José Romeu Gonçalves:
</t>
        </r>
        <r>
          <rPr>
            <sz val="9"/>
            <color rgb="FF000000"/>
            <rFont val="Tahoma"/>
            <family val="2"/>
            <charset val="1"/>
          </rPr>
          <t xml:space="preserve">
A restricted Production Order cannot have Materials assigned or removed from it with the exception of Split and Expand Material.</t>
        </r>
      </text>
      <mc:AlternateContent>
        <mc:Choice Requires="v2">
          <commentPr autoFill="true" autoScale="false" colHidden="false" locked="false" rowHidden="false" textHAlign="justify" textVAlign="top">
            <anchor moveWithCells="false" sizeWithCells="false">
              <xdr:from>
                <xdr:col>18</xdr:col>
                <xdr:colOff>40</xdr:colOff>
                <xdr:row>6</xdr:row>
                <xdr:rowOff>16</xdr:rowOff>
              </xdr:from>
              <xdr:to>
                <xdr:col>21</xdr:col>
                <xdr:colOff>112</xdr:colOff>
                <xdr:row>10</xdr:row>
                <xdr:rowOff>4</xdr:rowOff>
              </xdr:to>
            </anchor>
          </commentPr>
        </mc:Choice>
        <mc:Fallback/>
      </mc:AlternateContent>
    </comment>
  </commentList>
</comments>
</file>

<file path=xl/comments19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A1" authorId="0">
      <text>
        <r>
          <rPr>
            <sz val="10"/>
            <rFont val="Arial"/>
            <family val="2"/>
          </rPr>
          <t xml:space="preserve">José Romeu Gonçalves:
</t>
        </r>
        <r>
          <rPr>
            <sz val="9"/>
            <color rgb="FF000000"/>
            <rFont val="Tahoma"/>
            <family val="2"/>
            <charset val="1"/>
          </rPr>
          <t xml:space="preserve">A reference to the ProductionOrder this record refers to</t>
        </r>
      </text>
      <mc:AlternateContent>
        <mc:Choice Requires="v2">
          <commentPr autoFill="true" autoScale="false" colHidden="false" locked="false" rowHidden="false" textHAlign="justify" textVAlign="top">
            <anchor moveWithCells="false" sizeWithCells="false">
              <xdr:from>
                <xdr:col>1</xdr:col>
                <xdr:colOff>16</xdr:colOff>
                <xdr:row>0</xdr:row>
                <xdr:rowOff>0</xdr:rowOff>
              </xdr:from>
              <xdr:to>
                <xdr:col>2</xdr:col>
                <xdr:colOff>-51</xdr:colOff>
                <xdr:row>3</xdr:row>
                <xdr:rowOff>20</xdr:rowOff>
              </xdr:to>
            </anchor>
          </commentPr>
        </mc:Choice>
        <mc:Fallback/>
      </mc:AlternateContent>
    </comment>
    <comment ref="C1" authorId="0">
      <text>
        <r>
          <rPr>
            <sz val="10"/>
            <rFont val="Arial"/>
            <family val="2"/>
          </rPr>
          <t xml:space="preserve">José Romeu Gonçalves:
</t>
        </r>
        <r>
          <rPr>
            <sz val="9"/>
            <color rgb="FF000000"/>
            <rFont val="Tahoma"/>
            <family val="2"/>
            <charset val="1"/>
          </rPr>
          <t xml:space="preserve">A name for the logical Sub Production Orde</t>
        </r>
      </text>
      <mc:AlternateContent>
        <mc:Choice Requires="v2">
          <commentPr autoFill="true" autoScale="false" colHidden="false" locked="false" rowHidden="false" textHAlign="justify" textVAlign="top">
            <anchor moveWithCells="false" sizeWithCells="false">
              <xdr:from>
                <xdr:col>2</xdr:col>
                <xdr:colOff>68</xdr:colOff>
                <xdr:row>0</xdr:row>
                <xdr:rowOff>0</xdr:rowOff>
              </xdr:from>
              <xdr:to>
                <xdr:col>3</xdr:col>
                <xdr:colOff>40</xdr:colOff>
                <xdr:row>3</xdr:row>
                <xdr:rowOff>20</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How much quantity the Sub Production Order is intended to contribute to the Production Order</t>
        </r>
      </text>
      <mc:AlternateContent>
        <mc:Choice Requires="v2">
          <commentPr autoFill="true" autoScale="false" colHidden="false" locked="false" rowHidden="false" textHAlign="justify" textVAlign="top">
            <anchor moveWithCells="false" sizeWithCells="false">
              <xdr:from>
                <xdr:col>4</xdr:col>
                <xdr:colOff>16</xdr:colOff>
                <xdr:row>0</xdr:row>
                <xdr:rowOff>0</xdr:rowOff>
              </xdr:from>
              <xdr:to>
                <xdr:col>6</xdr:col>
                <xdr:colOff>32</xdr:colOff>
                <xdr:row>3</xdr:row>
                <xdr:rowOff>20</xdr:rowOff>
              </xdr:to>
            </anchor>
          </commentPr>
        </mc:Choice>
        <mc:Fallback/>
      </mc:AlternateContent>
    </comment>
  </commentList>
</comments>
</file>

<file path=xl/comments20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ContainerType</t>
        </r>
      </text>
      <mc:AlternateContent>
        <mc:Choice Requires="v2">
          <commentPr autoFill="true" autoScale="false" colHidden="false" locked="false" rowHidden="false" textHAlign="justify" textVAlign="top">
            <anchor moveWithCells="false" sizeWithCells="false">
              <xdr:from>
                <xdr:col>3</xdr:col>
                <xdr:colOff>12</xdr:colOff>
                <xdr:row>0</xdr:row>
                <xdr:rowOff>0</xdr:rowOff>
              </xdr:from>
              <xdr:to>
                <xdr:col>6</xdr:col>
                <xdr:colOff>40</xdr:colOff>
                <xdr:row>1</xdr:row>
                <xdr:rowOff>20</xdr:rowOff>
              </xdr:to>
            </anchor>
          </commentPr>
        </mc:Choice>
        <mc:Fallback/>
      </mc:AlternateContent>
    </comment>
    <comment ref="F1" authorId="1">
      <text>
        <r>
          <rPr>
            <sz val="10"/>
            <rFont val="Arial"/>
            <family val="2"/>
          </rPr>
          <t xml:space="preserve">Value Must be:
</t>
        </r>
        <r>
          <rPr>
            <sz val="9"/>
            <color rgb="FF000000"/>
            <rFont val="Tahoma"/>
            <family val="2"/>
            <charset val="1"/>
          </rPr>
          <t xml:space="preserve">Existing Facility Name</t>
        </r>
      </text>
      <mc:AlternateContent>
        <mc:Choice Requires="v2">
          <commentPr autoFill="true" autoScale="false" colHidden="false" locked="false" rowHidden="false" textHAlign="justify" textVAlign="top">
            <anchor moveWithCells="false" sizeWithCells="false">
              <xdr:from>
                <xdr:col>3</xdr:col>
                <xdr:colOff>68</xdr:colOff>
                <xdr:row>4</xdr:row>
                <xdr:rowOff>0</xdr:rowOff>
              </xdr:from>
              <xdr:to>
                <xdr:col>5</xdr:col>
                <xdr:colOff>44</xdr:colOff>
                <xdr:row>6</xdr:row>
                <xdr:rowOff>12</xdr:rowOff>
              </xdr:to>
            </anchor>
          </commentPr>
        </mc:Choice>
        <mc:Fallback/>
      </mc:AlternateContent>
    </comment>
    <comment ref="G1" authorId="1">
      <text>
        <r>
          <rPr>
            <sz val="10"/>
            <rFont val="Arial"/>
            <family val="2"/>
          </rPr>
          <t xml:space="preserve">Value Must belong to:
</t>
        </r>
        <r>
          <rPr>
            <sz val="9"/>
            <color rgb="FF000000"/>
            <rFont val="Tahoma"/>
            <family val="2"/>
            <charset val="1"/>
          </rPr>
          <t xml:space="preserve">LookupTable ContainerVendor</t>
        </r>
      </text>
      <mc:AlternateContent>
        <mc:Choice Requires="v2">
          <commentPr autoFill="true" autoScale="false" colHidden="false" locked="false" rowHidden="false" textHAlign="justify" textVAlign="top">
            <anchor moveWithCells="false" sizeWithCells="false">
              <xdr:from>
                <xdr:col>7</xdr:col>
                <xdr:colOff>44</xdr:colOff>
                <xdr:row>4</xdr:row>
                <xdr:rowOff>0</xdr:rowOff>
              </xdr:from>
              <xdr:to>
                <xdr:col>9</xdr:col>
                <xdr:colOff>40</xdr:colOff>
                <xdr:row>6</xdr:row>
                <xdr:rowOff>12</xdr:rowOff>
              </xdr:to>
            </anchor>
          </commentPr>
        </mc:Choice>
        <mc:Fallback/>
      </mc:AlternateContent>
    </comment>
    <comment ref="I1" authorId="0">
      <text>
        <r>
          <rPr>
            <sz val="10"/>
            <rFont val="Arial"/>
            <family val="2"/>
          </rPr>
          <t xml:space="preserve">José Romeu Gonçalves:
</t>
        </r>
        <r>
          <rPr>
            <sz val="9"/>
            <color rgb="FF000000"/>
            <rFont val="Tahoma"/>
            <family val="2"/>
            <charset val="1"/>
          </rPr>
          <t xml:space="preserve">
Material - the Container contains Materials.
Container - the Container contains Containers.
Resource - the Container contains Resources.</t>
        </r>
      </text>
      <mc:AlternateContent>
        <mc:Choice Requires="v2">
          <commentPr autoFill="true" autoScale="false" colHidden="false" locked="false" rowHidden="false" textHAlign="justify" textVAlign="top">
            <anchor moveWithCells="false" sizeWithCells="false">
              <xdr:from>
                <xdr:col>6</xdr:col>
                <xdr:colOff>8</xdr:colOff>
                <xdr:row>16</xdr:row>
                <xdr:rowOff>4</xdr:rowOff>
              </xdr:from>
              <xdr:to>
                <xdr:col>9</xdr:col>
                <xdr:colOff>40</xdr:colOff>
                <xdr:row>19</xdr:row>
                <xdr:rowOff>20</xdr:rowOff>
              </xdr:to>
            </anchor>
          </commentPr>
        </mc:Choice>
        <mc:Fallback/>
      </mc:AlternateContent>
    </comment>
    <comment ref="K1" authorId="0">
      <text>
        <r>
          <rPr>
            <sz val="10"/>
            <rFont val="Arial"/>
            <family val="2"/>
          </rPr>
          <t xml:space="preserve">For unlimited position: -1
</t>
        </r>
      </text>
      <mc:AlternateContent>
        <mc:Choice Requires="v2">
          <commentPr autoFill="true" autoScale="false" colHidden="false" locked="false" rowHidden="false" textHAlign="justify" textVAlign="top">
            <anchor moveWithCells="false" sizeWithCells="false">
              <xdr:from>
                <xdr:col>9</xdr:col>
                <xdr:colOff>8</xdr:colOff>
                <xdr:row>2</xdr:row>
                <xdr:rowOff>8</xdr:rowOff>
              </xdr:from>
              <xdr:to>
                <xdr:col>10</xdr:col>
                <xdr:colOff>-73</xdr:colOff>
                <xdr:row>3</xdr:row>
                <xdr:rowOff>8</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None if PositionUnitType = Container or Resource
If PositionUnitType = Material:
- Form: It's necessary to specify the capacity form (from the lookup table MaterialForm).
- Units: It's necessary to specify the capacity unit (from the lookup table Units) and the capacity per position.
- None.</t>
        </r>
      </text>
      <mc:AlternateContent>
        <mc:Choice Requires="v2">
          <commentPr autoFill="true" autoScale="false" colHidden="false" locked="false" rowHidden="false" textHAlign="justify" textVAlign="top">
            <anchor moveWithCells="false" sizeWithCells="false">
              <xdr:from>
                <xdr:col>7</xdr:col>
                <xdr:colOff>48</xdr:colOff>
                <xdr:row>3</xdr:row>
                <xdr:rowOff>8</xdr:rowOff>
              </xdr:from>
              <xdr:to>
                <xdr:col>11</xdr:col>
                <xdr:colOff>152</xdr:colOff>
                <xdr:row>12</xdr:row>
                <xdr:rowOff>8</xdr:rowOff>
              </xdr:to>
            </anchor>
          </commentPr>
        </mc:Choice>
        <mc:Fallback/>
      </mc:AlternateContent>
    </comment>
    <comment ref="O1" authorId="1">
      <text>
        <r>
          <rPr>
            <sz val="10"/>
            <rFont val="Arial"/>
            <family val="2"/>
          </rPr>
          <t xml:space="preserve">Value Must belong to:
</t>
        </r>
        <r>
          <rPr>
            <sz val="9"/>
            <color rgb="FF000000"/>
            <rFont val="Tahoma"/>
            <family val="2"/>
            <charset val="1"/>
          </rPr>
          <t xml:space="preserve">LookupTable Units</t>
        </r>
      </text>
      <mc:AlternateContent>
        <mc:Choice Requires="v2">
          <commentPr autoFill="true" autoScale="false" colHidden="false" locked="false" rowHidden="false" textHAlign="justify" textVAlign="top">
            <anchor moveWithCells="false" sizeWithCells="false">
              <xdr:from>
                <xdr:col>11</xdr:col>
                <xdr:colOff>92</xdr:colOff>
                <xdr:row>3</xdr:row>
                <xdr:rowOff>0</xdr:rowOff>
              </xdr:from>
              <xdr:to>
                <xdr:col>13</xdr:col>
                <xdr:colOff>4</xdr:colOff>
                <xdr:row>5</xdr:row>
                <xdr:rowOff>8</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the location of the Container in geographic coordinates (latitude, longitude and altitude) or select a named location from the lookup table ContainerLocation</t>
        </r>
      </text>
      <mc:AlternateContent>
        <mc:Choice Requires="v2">
          <commentPr autoFill="true" autoScale="false" colHidden="false" locked="false" rowHidden="false" textHAlign="justify" textVAlign="top">
            <anchor moveWithCells="false" sizeWithCells="false">
              <xdr:from>
                <xdr:col>14</xdr:col>
                <xdr:colOff>52</xdr:colOff>
                <xdr:row>4</xdr:row>
                <xdr:rowOff>0</xdr:rowOff>
              </xdr:from>
              <xdr:to>
                <xdr:col>17</xdr:col>
                <xdr:colOff>88</xdr:colOff>
                <xdr:row>8</xdr:row>
                <xdr:rowOff>8</xdr:rowOff>
              </xdr:to>
            </anchor>
          </commentPr>
        </mc:Choice>
        <mc:Fallback/>
      </mc:AlternateContent>
    </comment>
  </commentList>
</comments>
</file>

<file path=xl/comments20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s>
  <commentList>
    <comment ref="B1" authorId="0">
      <text>
        <r>
          <rPr>
            <sz val="10"/>
            <rFont val="Arial"/>
            <family val="2"/>
          </rPr>
          <t xml:space="preserve">José Romeu Gonçalves:
</t>
        </r>
        <r>
          <rPr>
            <sz val="9"/>
            <color rgb="FF000000"/>
            <rFont val="Tahoma"/>
            <family val="2"/>
            <charset val="1"/>
          </rPr>
          <t xml:space="preserve">
</t>
        </r>
        <r>
          <rPr>
            <b val="true"/>
            <u val="single"/>
            <sz val="9"/>
            <color rgb="FF000000"/>
            <rFont val="Tahoma"/>
            <family val="2"/>
            <charset val="1"/>
          </rPr>
          <t xml:space="preserve">Possible Context Combinations are:
</t>
        </r>
        <r>
          <rPr>
            <sz val="9"/>
            <color rgb="FF000000"/>
            <rFont val="Tahoma"/>
            <family val="2"/>
            <charset val="1"/>
          </rPr>
          <t xml:space="preserve">
Step, Product, Flow, State
Step, Product, State
Step, Product, MaterialType, State
Step, ProductGroup, Flow, State
Step, ProductGroup, State
Step, ProductGroup, MaterialType, State
Step, MaterialType, State
Step, Flow, State
Step, State
</t>
        </r>
      </text>
      <mc:AlternateContent>
        <mc:Choice Requires="v2">
          <commentPr autoFill="true" autoScale="false" colHidden="false" locked="false" rowHidden="false" textHAlign="justify" textVAlign="top">
            <anchor moveWithCells="false" sizeWithCells="false">
              <xdr:from>
                <xdr:col>1</xdr:col>
                <xdr:colOff>100</xdr:colOff>
                <xdr:row>6</xdr:row>
                <xdr:rowOff>8</xdr:rowOff>
              </xdr:from>
              <xdr:to>
                <xdr:col>5</xdr:col>
                <xdr:colOff>24</xdr:colOff>
                <xdr:row>17</xdr:row>
                <xdr:rowOff>4</xdr:rowOff>
              </xdr:to>
            </anchor>
          </commentPr>
        </mc:Choice>
        <mc:Fallback/>
      </mc:AlternateContent>
    </comment>
    <comment ref="D1" authorId="0">
      <text>
        <r>
          <rPr>
            <sz val="10"/>
            <rFont val="Arial"/>
            <family val="2"/>
          </rPr>
          <t xml:space="preserve">José Romeu Gonçalves:
</t>
        </r>
        <r>
          <rPr>
            <sz val="9"/>
            <color rgb="FF000000"/>
            <rFont val="Tahoma"/>
            <family val="2"/>
            <charset val="1"/>
          </rPr>
          <t xml:space="preserve">WI 76653</t>
        </r>
      </text>
      <mc:AlternateContent>
        <mc:Choice Requires="v2">
          <commentPr autoFill="true" autoScale="false" colHidden="false" locked="false" rowHidden="false" textHAlign="justify" textVAlign="top">
            <anchor moveWithCells="false" sizeWithCells="false">
              <xdr:from>
                <xdr:col>4</xdr:col>
                <xdr:colOff>12</xdr:colOff>
                <xdr:row>0</xdr:row>
                <xdr:rowOff>0</xdr:rowOff>
              </xdr:from>
              <xdr:to>
                <xdr:col>6</xdr:col>
                <xdr:colOff>20</xdr:colOff>
                <xdr:row>3</xdr:row>
                <xdr:rowOff>20</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The Resource where to process the Material Group</t>
        </r>
      </text>
      <mc:AlternateContent>
        <mc:Choice Requires="v2">
          <commentPr autoFill="true" autoScale="false" colHidden="false" locked="false" rowHidden="false" textHAlign="justify" textVAlign="top">
            <anchor moveWithCells="false" sizeWithCells="false">
              <xdr:from>
                <xdr:col>7</xdr:col>
                <xdr:colOff>148</xdr:colOff>
                <xdr:row>3</xdr:row>
                <xdr:rowOff>0</xdr:rowOff>
              </xdr:from>
              <xdr:to>
                <xdr:col>8</xdr:col>
                <xdr:colOff>8</xdr:colOff>
                <xdr:row>6</xdr:row>
                <xdr:rowOff>12</xdr:rowOff>
              </xdr:to>
            </anchor>
          </commentPr>
        </mc:Choice>
        <mc:Fallback/>
      </mc:AlternateContent>
    </comment>
    <comment ref="AB1" authorId="0">
      <text>
        <r>
          <rPr>
            <sz val="10"/>
            <rFont val="Arial"/>
            <family val="2"/>
          </rPr>
          <t xml:space="preserve">José Romeu Gonçalves:
</t>
        </r>
        <r>
          <rPr>
            <sz val="9"/>
            <color rgb="FF000000"/>
            <rFont val="Tahoma"/>
            <family val="2"/>
            <charset val="1"/>
          </rPr>
          <t xml:space="preserve">
Botton
middle
Random
Spread
Top
or manual selection</t>
        </r>
      </text>
      <mc:AlternateContent>
        <mc:Choice Requires="v2">
          <commentPr autoFill="true" autoScale="false" colHidden="false" locked="false" rowHidden="false" textHAlign="justify" textVAlign="top">
            <anchor moveWithCells="false" sizeWithCells="false">
              <xdr:from>
                <xdr:col>26</xdr:col>
                <xdr:colOff>180</xdr:colOff>
                <xdr:row>7</xdr:row>
                <xdr:rowOff>8</xdr:rowOff>
              </xdr:from>
              <xdr:to>
                <xdr:col>29</xdr:col>
                <xdr:colOff>88</xdr:colOff>
                <xdr:row>14</xdr:row>
                <xdr:rowOff>20</xdr:rowOff>
              </xdr:to>
            </anchor>
          </commentPr>
        </mc:Choice>
        <mc:Fallback/>
      </mc:AlternateContent>
    </comment>
  </commentList>
</comments>
</file>

<file path=xl/comments20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Administrator</author>
    <author>José Romeu Gonçalves</author>
  </authors>
  <commentList>
    <comment ref="A1" authorId="0">
      <text>
        <r>
          <rPr>
            <sz val="10"/>
            <rFont val="Arial"/>
            <family val="2"/>
          </rPr>
          <t xml:space="preserve">Administrator:
</t>
        </r>
        <r>
          <rPr>
            <sz val="9"/>
            <color rgb="FF000000"/>
            <rFont val="Tahoma"/>
            <family val="2"/>
            <charset val="1"/>
          </rPr>
          <t xml:space="preserve">
Entity Name
 Future Action Name</t>
        </r>
      </text>
      <mc:AlternateContent>
        <mc:Choice Requires="v2">
          <commentPr autoFill="true" autoScale="false" colHidden="false" locked="false" rowHidden="false" textHAlign="justify" textVAlign="top">
            <anchor moveWithCells="false" sizeWithCells="false">
              <xdr:from>
                <xdr:col>1</xdr:col>
                <xdr:colOff>8</xdr:colOff>
                <xdr:row>5</xdr:row>
                <xdr:rowOff>12</xdr:rowOff>
              </xdr:from>
              <xdr:to>
                <xdr:col>2</xdr:col>
                <xdr:colOff>76</xdr:colOff>
                <xdr:row>9</xdr:row>
                <xdr:rowOff>12</xdr:rowOff>
              </xdr:to>
            </anchor>
          </commentPr>
        </mc:Choice>
        <mc:Fallback/>
      </mc:AlternateContent>
    </comment>
    <comment ref="C1" authorId="1">
      <text>
        <r>
          <rPr>
            <sz val="10"/>
            <rFont val="Arial"/>
            <family val="2"/>
          </rPr>
          <t xml:space="preserve">José Romeu Gonçalves:
</t>
        </r>
        <r>
          <rPr>
            <sz val="9"/>
            <color rgb="FF000000"/>
            <rFont val="Tahoma"/>
            <family val="2"/>
            <charset val="1"/>
          </rPr>
          <t xml:space="preserve">
56389: Actions Split/SplitForStep/Merge aren't available yet</t>
        </r>
      </text>
      <mc:AlternateContent>
        <mc:Choice Requires="v2">
          <commentPr autoFill="true" autoScale="false" colHidden="false" locked="false" rowHidden="false" textHAlign="justify" textVAlign="top">
            <anchor moveWithCells="false" sizeWithCells="false">
              <xdr:from>
                <xdr:col>2</xdr:col>
                <xdr:colOff>16</xdr:colOff>
                <xdr:row>3</xdr:row>
                <xdr:rowOff>0</xdr:rowOff>
              </xdr:from>
              <xdr:to>
                <xdr:col>5</xdr:col>
                <xdr:colOff>8</xdr:colOff>
                <xdr:row>6</xdr:row>
                <xdr:rowOff>16</xdr:rowOff>
              </xdr:to>
            </anchor>
          </commentPr>
        </mc:Choice>
        <mc:Fallback/>
      </mc:AlternateContent>
    </comment>
    <comment ref="F1" authorId="1">
      <text>
        <r>
          <rPr>
            <sz val="10"/>
            <rFont val="Arial"/>
            <family val="2"/>
          </rPr>
          <t xml:space="preserve">José Romeu Gonçalves:
</t>
        </r>
        <r>
          <rPr>
            <sz val="9"/>
            <color rgb="FF000000"/>
            <rFont val="Tahoma"/>
            <family val="2"/>
            <charset val="1"/>
          </rPr>
          <t xml:space="preserve">
Queued for SetResource and SetService</t>
        </r>
      </text>
      <mc:AlternateContent>
        <mc:Choice Requires="v2">
          <commentPr autoFill="true" autoScale="false" colHidden="false" locked="false" rowHidden="false" textHAlign="justify" textVAlign="top">
            <anchor moveWithCells="false" sizeWithCells="false">
              <xdr:from>
                <xdr:col>4</xdr:col>
                <xdr:colOff>32</xdr:colOff>
                <xdr:row>2</xdr:row>
                <xdr:rowOff>16</xdr:rowOff>
              </xdr:from>
              <xdr:to>
                <xdr:col>6</xdr:col>
                <xdr:colOff>136</xdr:colOff>
                <xdr:row>5</xdr:row>
                <xdr:rowOff>16</xdr:rowOff>
              </xdr:to>
            </anchor>
          </commentPr>
        </mc:Choice>
        <mc:Fallback/>
      </mc:AlternateContent>
    </comment>
    <comment ref="G1" authorId="1">
      <text>
        <r>
          <rPr>
            <sz val="10"/>
            <rFont val="Arial"/>
            <family val="2"/>
          </rPr>
          <t xml:space="preserve">José Romeu Gonçalves:
</t>
        </r>
        <r>
          <rPr>
            <sz val="9"/>
            <color rgb="FF000000"/>
            <rFont val="Tahoma"/>
            <family val="2"/>
            <charset val="1"/>
          </rPr>
          <t xml:space="preserve">
The flowpath to where the material should be sent. Used on ChangeFlowAndStep and Temporary Off Flow Actions.</t>
        </r>
      </text>
      <mc:AlternateContent>
        <mc:Choice Requires="v2">
          <commentPr autoFill="true" autoScale="false" colHidden="false" locked="false" rowHidden="false" textHAlign="justify" textVAlign="top">
            <anchor moveWithCells="false" sizeWithCells="false">
              <xdr:from>
                <xdr:col>5</xdr:col>
                <xdr:colOff>48</xdr:colOff>
                <xdr:row>2</xdr:row>
                <xdr:rowOff>4</xdr:rowOff>
              </xdr:from>
              <xdr:to>
                <xdr:col>7</xdr:col>
                <xdr:colOff>36</xdr:colOff>
                <xdr:row>7</xdr:row>
                <xdr:rowOff>4</xdr:rowOff>
              </xdr:to>
            </anchor>
          </commentPr>
        </mc:Choice>
        <mc:Fallback/>
      </mc:AlternateContent>
    </comment>
    <comment ref="H1" authorId="1">
      <text>
        <r>
          <rPr>
            <sz val="10"/>
            <rFont val="Arial"/>
            <family val="2"/>
          </rPr>
          <t xml:space="preserve">José Romeu Gonçalves:
</t>
        </r>
        <r>
          <rPr>
            <sz val="9"/>
            <color rgb="FF000000"/>
            <rFont val="Tahoma"/>
            <family val="2"/>
            <charset val="1"/>
          </rPr>
          <t xml:space="preserve">
The Flow to where the material should be sent. Used on ChangeFlowAndStep and Temporary Off Flow Actions.</t>
        </r>
      </text>
      <mc:AlternateContent>
        <mc:Choice Requires="v2">
          <commentPr autoFill="true" autoScale="false" colHidden="false" locked="false" rowHidden="false" textHAlign="justify" textVAlign="top">
            <anchor moveWithCells="false" sizeWithCells="false">
              <xdr:from>
                <xdr:col>6</xdr:col>
                <xdr:colOff>80</xdr:colOff>
                <xdr:row>2</xdr:row>
                <xdr:rowOff>8</xdr:rowOff>
              </xdr:from>
              <xdr:to>
                <xdr:col>7</xdr:col>
                <xdr:colOff>52</xdr:colOff>
                <xdr:row>6</xdr:row>
                <xdr:rowOff>20</xdr:rowOff>
              </xdr:to>
            </anchor>
          </commentPr>
        </mc:Choice>
        <mc:Fallback/>
      </mc:AlternateContent>
    </comment>
    <comment ref="I1" authorId="1">
      <text>
        <r>
          <rPr>
            <sz val="10"/>
            <rFont val="Arial"/>
            <family val="2"/>
          </rPr>
          <t xml:space="preserve">José Romeu Gonçalves:
</t>
        </r>
        <r>
          <rPr>
            <sz val="9"/>
            <color rgb="FF000000"/>
            <rFont val="Tahoma"/>
            <family val="2"/>
            <charset val="1"/>
          </rPr>
          <t xml:space="preserve">
The step to where the material should be sent. Used on ChangeFlowAndStep and Temporary Off Flow Actions</t>
        </r>
      </text>
      <mc:AlternateContent>
        <mc:Choice Requires="v2">
          <commentPr autoFill="true" autoScale="false" colHidden="false" locked="false" rowHidden="false" textHAlign="justify" textVAlign="top">
            <anchor moveWithCells="false" sizeWithCells="false">
              <xdr:from>
                <xdr:col>7</xdr:col>
                <xdr:colOff>24</xdr:colOff>
                <xdr:row>0</xdr:row>
                <xdr:rowOff>0</xdr:rowOff>
              </xdr:from>
              <xdr:to>
                <xdr:col>10</xdr:col>
                <xdr:colOff>12</xdr:colOff>
                <xdr:row>3</xdr:row>
                <xdr:rowOff>8</xdr:rowOff>
              </xdr:to>
            </anchor>
          </commentPr>
        </mc:Choice>
        <mc:Fallback/>
      </mc:AlternateContent>
    </comment>
    <comment ref="M1" authorId="1">
      <text>
        <r>
          <rPr>
            <sz val="10"/>
            <rFont val="Arial"/>
            <family val="2"/>
          </rPr>
          <t xml:space="preserve">José Romeu Gonçalves:
</t>
        </r>
        <r>
          <rPr>
            <sz val="9"/>
            <color rgb="FF000000"/>
            <rFont val="Tahoma"/>
            <family val="2"/>
            <charset val="1"/>
          </rPr>
          <t xml:space="preserve">
WI 76653</t>
        </r>
      </text>
      <mc:AlternateContent>
        <mc:Choice Requires="v2">
          <commentPr autoFill="true" autoScale="false" colHidden="false" locked="false" rowHidden="false" textHAlign="justify" textVAlign="top">
            <anchor moveWithCells="false" sizeWithCells="false">
              <xdr:from>
                <xdr:col>13</xdr:col>
                <xdr:colOff>16</xdr:colOff>
                <xdr:row>0</xdr:row>
                <xdr:rowOff>0</xdr:rowOff>
              </xdr:from>
              <xdr:to>
                <xdr:col>14</xdr:col>
                <xdr:colOff>-36</xdr:colOff>
                <xdr:row>3</xdr:row>
                <xdr:rowOff>20</xdr:rowOff>
              </xdr:to>
            </anchor>
          </commentPr>
        </mc:Choice>
        <mc:Fallback/>
      </mc:AlternateContent>
    </comment>
    <comment ref="R1" authorId="1">
      <text>
        <r>
          <rPr>
            <sz val="10"/>
            <rFont val="Arial"/>
            <family val="2"/>
          </rPr>
          <t xml:space="preserve">José Romeu Gonçalves:
</t>
        </r>
        <r>
          <rPr>
            <sz val="9"/>
            <color rgb="FF000000"/>
            <rFont val="Tahoma"/>
            <family val="2"/>
            <charset val="1"/>
          </rPr>
          <t xml:space="preserve">
The Resource where to process the Material</t>
        </r>
      </text>
      <mc:AlternateContent>
        <mc:Choice Requires="v2">
          <commentPr autoFill="true" autoScale="false" colHidden="false" locked="false" rowHidden="false" textHAlign="justify" textVAlign="top">
            <anchor moveWithCells="false" sizeWithCells="false">
              <xdr:from>
                <xdr:col>12</xdr:col>
                <xdr:colOff>8</xdr:colOff>
                <xdr:row>0</xdr:row>
                <xdr:rowOff>0</xdr:rowOff>
              </xdr:from>
              <xdr:to>
                <xdr:col>13</xdr:col>
                <xdr:colOff>-24</xdr:colOff>
                <xdr:row>3</xdr:row>
                <xdr:rowOff>16</xdr:rowOff>
              </xdr:to>
            </anchor>
          </commentPr>
        </mc:Choice>
        <mc:Fallback/>
      </mc:AlternateContent>
    </comment>
    <comment ref="AH1" authorId="1">
      <text>
        <r>
          <rPr>
            <sz val="10"/>
            <rFont val="Arial"/>
            <family val="2"/>
          </rPr>
          <t xml:space="preserve">José Romeu Gonçalves:
</t>
        </r>
        <r>
          <rPr>
            <sz val="9"/>
            <color rgb="FF000000"/>
            <rFont val="Tahoma"/>
            <family val="2"/>
            <charset val="1"/>
          </rPr>
          <t xml:space="preserve">
Botton
middle
Random
Spread
Top
or manual selection</t>
        </r>
      </text>
      <mc:AlternateContent>
        <mc:Choice Requires="v2">
          <commentPr autoFill="true" autoScale="false" colHidden="false" locked="false" rowHidden="false" textHAlign="justify" textVAlign="top">
            <anchor moveWithCells="false" sizeWithCells="false">
              <xdr:from>
                <xdr:col>31</xdr:col>
                <xdr:colOff>180</xdr:colOff>
                <xdr:row>0</xdr:row>
                <xdr:rowOff>0</xdr:rowOff>
              </xdr:from>
              <xdr:to>
                <xdr:col>33</xdr:col>
                <xdr:colOff>60</xdr:colOff>
                <xdr:row>7</xdr:row>
                <xdr:rowOff>16</xdr:rowOff>
              </xdr:to>
            </anchor>
          </commentPr>
        </mc:Choice>
        <mc:Fallback/>
      </mc:AlternateContent>
    </comment>
    <comment ref="AI1" authorId="1">
      <text>
        <r>
          <rPr>
            <sz val="10"/>
            <rFont val="Arial"/>
            <family val="2"/>
          </rPr>
          <t xml:space="preserve">José Romeu Gonçalves:
</t>
        </r>
        <r>
          <rPr>
            <sz val="9"/>
            <color rgb="FF000000"/>
            <rFont val="Tahoma"/>
            <family val="2"/>
            <charset val="1"/>
          </rPr>
          <t xml:space="preserve">Flow1/A</t>
        </r>
      </text>
      <mc:AlternateContent>
        <mc:Choice Requires="v2">
          <commentPr autoFill="true" autoScale="false" colHidden="false" locked="false" rowHidden="false" textHAlign="justify" textVAlign="top">
            <anchor moveWithCells="false" sizeWithCells="false">
              <xdr:from>
                <xdr:col>32</xdr:col>
                <xdr:colOff>176</xdr:colOff>
                <xdr:row>5</xdr:row>
                <xdr:rowOff>8</xdr:rowOff>
              </xdr:from>
              <xdr:to>
                <xdr:col>35</xdr:col>
                <xdr:colOff>56</xdr:colOff>
                <xdr:row>9</xdr:row>
                <xdr:rowOff>4</xdr:rowOff>
              </xdr:to>
            </anchor>
          </commentPr>
        </mc:Choice>
        <mc:Fallback/>
      </mc:AlternateContent>
    </comment>
    <comment ref="AJ1" authorId="1">
      <text>
        <r>
          <rPr>
            <sz val="10"/>
            <rFont val="Arial"/>
            <family val="2"/>
          </rPr>
          <t xml:space="preserve">José Romeu Gonçalves:
</t>
        </r>
        <r>
          <rPr>
            <sz val="9"/>
            <color rgb="FF000000"/>
            <rFont val="Tahoma"/>
            <family val="2"/>
            <charset val="1"/>
          </rPr>
          <t xml:space="preserve">
Complete Flow Path</t>
        </r>
      </text>
      <mc:AlternateContent>
        <mc:Choice Requires="v2">
          <commentPr autoFill="true" autoScale="false" colHidden="false" locked="false" rowHidden="false" textHAlign="justify" textVAlign="top">
            <anchor moveWithCells="false" sizeWithCells="false">
              <xdr:from>
                <xdr:col>20</xdr:col>
                <xdr:colOff>36</xdr:colOff>
                <xdr:row>3</xdr:row>
                <xdr:rowOff>8</xdr:rowOff>
              </xdr:from>
              <xdr:to>
                <xdr:col>22</xdr:col>
                <xdr:colOff>84</xdr:colOff>
                <xdr:row>5</xdr:row>
                <xdr:rowOff>16</xdr:rowOff>
              </xdr:to>
            </anchor>
          </commentPr>
        </mc:Choice>
        <mc:Fallback/>
      </mc:AlternateContent>
    </comment>
    <comment ref="AK1" authorId="1">
      <text>
        <r>
          <rPr>
            <sz val="10"/>
            <rFont val="Arial"/>
            <family val="2"/>
          </rPr>
          <t xml:space="preserve">José Romeu Gonçalves:
</t>
        </r>
        <r>
          <rPr>
            <sz val="9"/>
            <color rgb="FF000000"/>
            <rFont val="Tahoma"/>
            <family val="2"/>
            <charset val="1"/>
          </rPr>
          <t xml:space="preserve">
The TopMost Material Flow</t>
        </r>
      </text>
      <mc:AlternateContent>
        <mc:Choice Requires="v2">
          <commentPr autoFill="true" autoScale="false" colHidden="false" locked="false" rowHidden="false" textHAlign="justify" textVAlign="top">
            <anchor moveWithCells="false" sizeWithCells="false">
              <xdr:from>
                <xdr:col>22</xdr:col>
                <xdr:colOff>120</xdr:colOff>
                <xdr:row>3</xdr:row>
                <xdr:rowOff>8</xdr:rowOff>
              </xdr:from>
              <xdr:to>
                <xdr:col>23</xdr:col>
                <xdr:colOff>-64</xdr:colOff>
                <xdr:row>5</xdr:row>
                <xdr:rowOff>20</xdr:rowOff>
              </xdr:to>
            </anchor>
          </commentPr>
        </mc:Choice>
        <mc:Fallback/>
      </mc:AlternateContent>
    </comment>
  </commentList>
</comments>
</file>

<file path=xl/comments20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André Baptista</author>
  </authors>
  <commentList>
    <comment ref="P1" authorId="0">
      <text>
        <r>
          <rPr>
            <sz val="10"/>
            <rFont val="Arial"/>
            <family val="2"/>
          </rPr>
          <t xml:space="preserve">Possible values:
</t>
        </r>
        <r>
          <rPr>
            <b val="true"/>
            <sz val="9"/>
            <color rgb="FF000000"/>
            <rFont val="Tahoma"/>
            <family val="2"/>
            <charset val="1"/>
          </rPr>
          <t xml:space="preserve">- Manual
- ManualAtTrackOut
- SPCWithNoViolation
- DataCollectionWithinLimits</t>
        </r>
      </text>
      <mc:AlternateContent>
        <mc:Choice Requires="v2">
          <commentPr autoFill="true" autoScale="false" colHidden="false" locked="false" rowHidden="false" textHAlign="justify" textVAlign="top">
            <anchor moveWithCells="false" sizeWithCells="false">
              <xdr:from>
                <xdr:col>10</xdr:col>
                <xdr:colOff>52</xdr:colOff>
                <xdr:row>14</xdr:row>
                <xdr:rowOff>0</xdr:rowOff>
              </xdr:from>
              <xdr:to>
                <xdr:col>12</xdr:col>
                <xdr:colOff>16</xdr:colOff>
                <xdr:row>17</xdr:row>
                <xdr:rowOff>20</xdr:rowOff>
              </xdr:to>
            </anchor>
          </commentPr>
        </mc:Choice>
        <mc:Fallback/>
      </mc:AlternateContent>
    </comment>
    <comment ref="Q1" authorId="0">
      <text>
        <r>
          <rPr>
            <sz val="10"/>
            <rFont val="Arial"/>
            <family val="2"/>
          </rPr>
          <t xml:space="preserve">Possible values:
</t>
        </r>
        <r>
          <rPr>
            <b val="true"/>
            <sz val="9"/>
            <color rgb="FF000000"/>
            <rFont val="Tahoma"/>
            <family val="2"/>
            <charset val="1"/>
          </rPr>
          <t xml:space="preserve">- Yes
- No</t>
        </r>
      </text>
      <mc:AlternateContent>
        <mc:Choice Requires="v2">
          <commentPr autoFill="true" autoScale="false" colHidden="false" locked="false" rowHidden="false" textHAlign="justify" textVAlign="top">
            <anchor moveWithCells="false" sizeWithCells="false">
              <xdr:from>
                <xdr:col>17</xdr:col>
                <xdr:colOff>32</xdr:colOff>
                <xdr:row>0</xdr:row>
                <xdr:rowOff>0</xdr:rowOff>
              </xdr:from>
              <xdr:to>
                <xdr:col>18</xdr:col>
                <xdr:colOff>60</xdr:colOff>
                <xdr:row>2</xdr:row>
                <xdr:rowOff>8</xdr:rowOff>
              </xdr:to>
            </anchor>
          </commentPr>
        </mc:Choice>
        <mc:Fallback/>
      </mc:AlternateContent>
    </comment>
  </commentList>
</comments>
</file>

<file path=xl/comments20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André Baptista</author>
  </authors>
  <commentList>
    <comment ref="C1" authorId="0">
      <text>
        <r>
          <rPr>
            <sz val="10"/>
            <rFont val="Arial"/>
            <family val="2"/>
          </rPr>
          <t xml:space="preserve">Possible values:
</t>
        </r>
        <r>
          <rPr>
            <b val="true"/>
            <sz val="9"/>
            <color rgb="FF000000"/>
            <rFont val="Tahoma"/>
            <family val="2"/>
            <charset val="1"/>
          </rPr>
          <t xml:space="preserve">- Waiting
- SendAhead</t>
        </r>
      </text>
      <mc:AlternateContent>
        <mc:Choice Requires="v2">
          <commentPr autoFill="true" autoScale="false" colHidden="false" locked="false" rowHidden="false" textHAlign="justify" textVAlign="top">
            <anchor moveWithCells="false" sizeWithCells="false">
              <xdr:from>
                <xdr:col>4</xdr:col>
                <xdr:colOff>36</xdr:colOff>
                <xdr:row>5</xdr:row>
                <xdr:rowOff>0</xdr:rowOff>
              </xdr:from>
              <xdr:to>
                <xdr:col>5</xdr:col>
                <xdr:colOff>104</xdr:colOff>
                <xdr:row>11</xdr:row>
                <xdr:rowOff>12</xdr:rowOff>
              </xdr:to>
            </anchor>
          </commentPr>
        </mc:Choice>
        <mc:Fallback/>
      </mc:AlternateContent>
    </comment>
    <comment ref="D1" authorId="0">
      <text>
        <r>
          <rPr>
            <sz val="10"/>
            <rFont val="Arial"/>
            <family val="2"/>
          </rPr>
          <t xml:space="preserve">Possible values if SendAheadType is Waiting:
</t>
        </r>
        <r>
          <rPr>
            <b val="true"/>
            <sz val="9"/>
            <color rgb="FF000000"/>
            <rFont val="Tahoma"/>
            <family val="2"/>
            <charset val="1"/>
          </rPr>
          <t xml:space="preserve">- None
- Logical
- Physical
</t>
        </r>
        <r>
          <rPr>
            <sz val="9"/>
            <color rgb="FF000000"/>
            <rFont val="Tahoma"/>
            <family val="2"/>
            <charset val="1"/>
          </rPr>
          <t xml:space="preserve">
Otherwise leave this blank.</t>
        </r>
      </text>
      <mc:AlternateContent>
        <mc:Choice Requires="v2">
          <commentPr autoFill="true" autoScale="false" colHidden="false" locked="false" rowHidden="false" textHAlign="justify" textVAlign="top">
            <anchor moveWithCells="false" sizeWithCells="false">
              <xdr:from>
                <xdr:col>3</xdr:col>
                <xdr:colOff>56</xdr:colOff>
                <xdr:row>0</xdr:row>
                <xdr:rowOff>0</xdr:rowOff>
              </xdr:from>
              <xdr:to>
                <xdr:col>5</xdr:col>
                <xdr:colOff>60</xdr:colOff>
                <xdr:row>6</xdr:row>
                <xdr:rowOff>20</xdr:rowOff>
              </xdr:to>
            </anchor>
          </commentPr>
        </mc:Choice>
        <mc:Fallback/>
      </mc:AlternateContent>
    </comment>
    <comment ref="E1" authorId="0">
      <text>
        <r>
          <rPr>
            <sz val="10"/>
            <rFont val="Arial"/>
            <family val="2"/>
          </rPr>
          <t xml:space="preserve">Possible values if SplitType is Logical or Physical:
</t>
        </r>
        <r>
          <rPr>
            <b val="true"/>
            <sz val="9"/>
            <color rgb="FF000000"/>
            <rFont val="Tahoma"/>
            <family val="2"/>
            <charset val="1"/>
          </rPr>
          <t xml:space="preserve">- Temporary
- Permanent
</t>
        </r>
        <r>
          <rPr>
            <sz val="9"/>
            <color rgb="FF000000"/>
            <rFont val="Tahoma"/>
            <family val="2"/>
            <charset val="1"/>
          </rPr>
          <t xml:space="preserve">
Otherwise leave this blank.</t>
        </r>
      </text>
      <mc:AlternateContent>
        <mc:Choice Requires="v2">
          <commentPr autoFill="true" autoScale="false" colHidden="false" locked="false" rowHidden="false" textHAlign="justify" textVAlign="top">
            <anchor moveWithCells="false" sizeWithCells="false">
              <xdr:from>
                <xdr:col>4</xdr:col>
                <xdr:colOff>64</xdr:colOff>
                <xdr:row>0</xdr:row>
                <xdr:rowOff>0</xdr:rowOff>
              </xdr:from>
              <xdr:to>
                <xdr:col>5</xdr:col>
                <xdr:colOff>132</xdr:colOff>
                <xdr:row>6</xdr:row>
                <xdr:rowOff>4</xdr:rowOff>
              </xdr:to>
            </anchor>
          </commentPr>
        </mc:Choice>
        <mc:Fallback/>
      </mc:AlternateContent>
    </comment>
    <comment ref="H1" authorId="0">
      <text>
        <r>
          <rPr>
            <sz val="10"/>
            <rFont val="Arial"/>
            <family val="2"/>
          </rPr>
          <t xml:space="preserve">The name of the parent Waiting material that will be split into the sub-materials to send-ahead.
When this column is defined:
- Material must be the name of a sub-material to send-ahead
- SendAheadType must be SendAhead</t>
        </r>
      </text>
      <mc:AlternateContent>
        <mc:Choice Requires="v2">
          <commentPr autoFill="true" autoScale="false" colHidden="false" locked="false" rowHidden="false" textHAlign="justify" textVAlign="top">
            <anchor moveWithCells="false" sizeWithCells="false">
              <xdr:from>
                <xdr:col>7</xdr:col>
                <xdr:colOff>160</xdr:colOff>
                <xdr:row>0</xdr:row>
                <xdr:rowOff>0</xdr:rowOff>
              </xdr:from>
              <xdr:to>
                <xdr:col>10</xdr:col>
                <xdr:colOff>36</xdr:colOff>
                <xdr:row>8</xdr:row>
                <xdr:rowOff>12</xdr:rowOff>
              </xdr:to>
            </anchor>
          </commentPr>
        </mc:Choice>
        <mc:Fallback/>
      </mc:AlternateContent>
    </comment>
  </commentList>
</comments>
</file>

<file path=xl/comments20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Syntax:
</t>
        </r>
        <r>
          <rPr>
            <sz val="9"/>
            <color rgb="FF000000"/>
            <rFont val="Tahoma"/>
            <family val="2"/>
            <charset val="1"/>
          </rPr>
          <t xml:space="preserve">
Value from ExperimentDefinitionType Lookup Table</t>
        </r>
      </text>
      <mc:AlternateContent>
        <mc:Choice Requires="v2">
          <commentPr autoFill="true" autoScale="false" colHidden="false" locked="false" rowHidden="false" textHAlign="justify" textVAlign="top">
            <anchor moveWithCells="false" sizeWithCells="false">
              <xdr:from>
                <xdr:col>2</xdr:col>
                <xdr:colOff>52</xdr:colOff>
                <xdr:row>3</xdr:row>
                <xdr:rowOff>8</xdr:rowOff>
              </xdr:from>
              <xdr:to>
                <xdr:col>4</xdr:col>
                <xdr:colOff>8</xdr:colOff>
                <xdr:row>7</xdr:row>
                <xdr:rowOff>8</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Optional. Role who can manage the Experiment </t>
        </r>
      </text>
      <mc:AlternateContent>
        <mc:Choice Requires="v2">
          <commentPr autoFill="true" autoScale="false" colHidden="false" locked="false" rowHidden="false" textHAlign="justify" textVAlign="top">
            <anchor moveWithCells="false" sizeWithCells="false">
              <xdr:from>
                <xdr:col>2</xdr:col>
                <xdr:colOff>64</xdr:colOff>
                <xdr:row>1</xdr:row>
                <xdr:rowOff>0</xdr:rowOff>
              </xdr:from>
              <xdr:to>
                <xdr:col>4</xdr:col>
                <xdr:colOff>60</xdr:colOff>
                <xdr:row>4</xdr:row>
                <xdr:rowOff>4</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Main Flow only</t>
        </r>
      </text>
      <mc:AlternateContent>
        <mc:Choice Requires="v2">
          <commentPr autoFill="true" autoScale="false" colHidden="false" locked="false" rowHidden="false" textHAlign="justify" textVAlign="top">
            <anchor moveWithCells="false" sizeWithCells="false">
              <xdr:from>
                <xdr:col>7</xdr:col>
                <xdr:colOff>0</xdr:colOff>
                <xdr:row>1</xdr:row>
                <xdr:rowOff>16</xdr:rowOff>
              </xdr:from>
              <xdr:to>
                <xdr:col>11</xdr:col>
                <xdr:colOff>104</xdr:colOff>
                <xdr:row>4</xdr:row>
                <xdr:rowOff>8</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Optional</t>
        </r>
      </text>
      <mc:AlternateContent>
        <mc:Choice Requires="v2">
          <commentPr autoFill="true" autoScale="false" colHidden="false" locked="false" rowHidden="false" textHAlign="justify" textVAlign="top">
            <anchor moveWithCells="false" sizeWithCells="false">
              <xdr:from>
                <xdr:col>9</xdr:col>
                <xdr:colOff>60</xdr:colOff>
                <xdr:row>2</xdr:row>
                <xdr:rowOff>0</xdr:rowOff>
              </xdr:from>
              <xdr:to>
                <xdr:col>11</xdr:col>
                <xdr:colOff>36</xdr:colOff>
                <xdr:row>4</xdr:row>
                <xdr:rowOff>12</xdr:rowOff>
              </xdr:to>
            </anchor>
          </commentPr>
        </mc:Choice>
        <mc:Fallback/>
      </mc:AlternateContent>
    </comment>
    <comment ref="M1" authorId="0">
      <text>
        <r>
          <rPr>
            <sz val="10"/>
            <rFont val="Arial"/>
            <family val="2"/>
          </rPr>
          <t xml:space="preserve">José Romeu Gonçalves:
</t>
        </r>
        <r>
          <rPr>
            <sz val="9"/>
            <color rgb="FF000000"/>
            <rFont val="Tahoma"/>
            <family val="2"/>
            <charset val="1"/>
          </rPr>
          <t xml:space="preserve">
Optional</t>
        </r>
      </text>
      <mc:AlternateContent>
        <mc:Choice Requires="v2">
          <commentPr autoFill="true" autoScale="false" colHidden="false" locked="false" rowHidden="false" textHAlign="justify" textVAlign="top">
            <anchor moveWithCells="false" sizeWithCells="false">
              <xdr:from>
                <xdr:col>11</xdr:col>
                <xdr:colOff>160</xdr:colOff>
                <xdr:row>2</xdr:row>
                <xdr:rowOff>8</xdr:rowOff>
              </xdr:from>
              <xdr:to>
                <xdr:col>13</xdr:col>
                <xdr:colOff>112</xdr:colOff>
                <xdr:row>4</xdr:row>
                <xdr:rowOff>20</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Optional</t>
        </r>
      </text>
      <mc:AlternateContent>
        <mc:Choice Requires="v2">
          <commentPr autoFill="true" autoScale="false" colHidden="false" locked="false" rowHidden="false" textHAlign="justify" textVAlign="top">
            <anchor moveWithCells="false" sizeWithCells="false">
              <xdr:from>
                <xdr:col>12</xdr:col>
                <xdr:colOff>92</xdr:colOff>
                <xdr:row>2</xdr:row>
                <xdr:rowOff>12</xdr:rowOff>
              </xdr:from>
              <xdr:to>
                <xdr:col>13</xdr:col>
                <xdr:colOff>92</xdr:colOff>
                <xdr:row>5</xdr:row>
                <xdr:rowOff>8</xdr:rowOff>
              </xdr:to>
            </anchor>
          </commentPr>
        </mc:Choice>
        <mc:Fallback/>
      </mc:AlternateContent>
    </comment>
    <comment ref="W1" authorId="0">
      <text>
        <r>
          <rPr>
            <sz val="10"/>
            <rFont val="Arial"/>
            <family val="2"/>
          </rPr>
          <t xml:space="preserve">Syntax: 
Name[Objective] Description[Objective description] Target[Objective Target]
Name = Value From LookupTable "ExperimentDefinitionObjective"
Example: Name[Yield Improve] Description[to improve Yield] Target[99%]</t>
        </r>
      </text>
      <mc:AlternateContent>
        <mc:Choice Requires="v2">
          <commentPr autoFill="true" autoScale="false" colHidden="false" locked="false" rowHidden="false" textHAlign="justify" textVAlign="top">
            <anchor moveWithCells="false" sizeWithCells="false">
              <xdr:from>
                <xdr:col>19</xdr:col>
                <xdr:colOff>32</xdr:colOff>
                <xdr:row>2</xdr:row>
                <xdr:rowOff>8</xdr:rowOff>
              </xdr:from>
              <xdr:to>
                <xdr:col>22</xdr:col>
                <xdr:colOff>72</xdr:colOff>
                <xdr:row>7</xdr:row>
                <xdr:rowOff>4</xdr:rowOff>
              </xdr:to>
            </anchor>
          </commentPr>
        </mc:Choice>
        <mc:Fallback/>
      </mc:AlternateContent>
    </comment>
    <comment ref="X1" authorId="0">
      <text>
        <r>
          <rPr>
            <sz val="10"/>
            <rFont val="Arial"/>
            <family val="2"/>
          </rPr>
          <t xml:space="preserve">José Romeu Gonçalves:
</t>
        </r>
        <r>
          <rPr>
            <sz val="9"/>
            <color rgb="FF000000"/>
            <rFont val="Tahoma"/>
            <family val="2"/>
            <charset val="1"/>
          </rPr>
          <t xml:space="preserve">
Syntax: Name[MaterialGroupName] Description[MaterialGroup Description] IsShippable[Yes] MaterialType[Material Group] SubMaterials[1-2]
Example: Name[Reference] Description[Reference description] IsShippable[Yes] MaterialType[Engineering] SubMaterials[1-2-3-4]
Name and SubMaterials are mandatory</t>
        </r>
      </text>
      <mc:AlternateContent>
        <mc:Choice Requires="v2">
          <commentPr autoFill="true" autoScale="false" colHidden="false" locked="false" rowHidden="false" textHAlign="justify" textVAlign="top">
            <anchor moveWithCells="false" sizeWithCells="false">
              <xdr:from>
                <xdr:col>19</xdr:col>
                <xdr:colOff>40</xdr:colOff>
                <xdr:row>4</xdr:row>
                <xdr:rowOff>16</xdr:rowOff>
              </xdr:from>
              <xdr:to>
                <xdr:col>25</xdr:col>
                <xdr:colOff>60</xdr:colOff>
                <xdr:row>12</xdr:row>
                <xdr:rowOff>12</xdr:rowOff>
              </xdr:to>
            </anchor>
          </commentPr>
        </mc:Choice>
        <mc:Fallback/>
      </mc:AlternateContent>
    </comment>
    <comment ref="Y1" authorId="0">
      <text>
        <r>
          <rPr>
            <sz val="10"/>
            <rFont val="Arial"/>
            <family val="2"/>
          </rPr>
          <t xml:space="preserve">José Romeu Gonçalves:
</t>
        </r>
        <r>
          <rPr>
            <sz val="9"/>
            <color rgb="FF000000"/>
            <rFont val="Tahoma"/>
            <family val="2"/>
            <charset val="1"/>
          </rPr>
          <t xml:space="preserve">
A semi-colon delimited list of SubMaterials that are to be considered optional</t>
        </r>
      </text>
      <mc:AlternateContent>
        <mc:Choice Requires="v2">
          <commentPr autoFill="true" autoScale="false" colHidden="false" locked="false" rowHidden="false" textHAlign="justify" textVAlign="top">
            <anchor moveWithCells="false" sizeWithCells="false">
              <xdr:from>
                <xdr:col>24</xdr:col>
                <xdr:colOff>128</xdr:colOff>
                <xdr:row>5</xdr:row>
                <xdr:rowOff>4</xdr:rowOff>
              </xdr:from>
              <xdr:to>
                <xdr:col>27</xdr:col>
                <xdr:colOff>32</xdr:colOff>
                <xdr:row>8</xdr:row>
                <xdr:rowOff>16</xdr:rowOff>
              </xdr:to>
            </anchor>
          </commentPr>
        </mc:Choice>
        <mc:Fallback/>
      </mc:AlternateContent>
    </comment>
    <comment ref="Z1" authorId="0">
      <text>
        <r>
          <rPr>
            <sz val="10"/>
            <rFont val="Arial"/>
            <family val="2"/>
          </rPr>
          <t xml:space="preserve">José Romeu Gonçalves:
</t>
        </r>
        <r>
          <rPr>
            <sz val="9"/>
            <color rgb="FF000000"/>
            <rFont val="Tahoma"/>
            <family val="2"/>
            <charset val="1"/>
          </rPr>
          <t xml:space="preserve">
A semi-colon delimited list of SubMaterials that are to be empty, that is, cannot be used</t>
        </r>
      </text>
      <mc:AlternateContent>
        <mc:Choice Requires="v2">
          <commentPr autoFill="true" autoScale="false" colHidden="false" locked="false" rowHidden="false" textHAlign="justify" textVAlign="top">
            <anchor moveWithCells="false" sizeWithCells="false">
              <xdr:from>
                <xdr:col>24</xdr:col>
                <xdr:colOff>48</xdr:colOff>
                <xdr:row>5</xdr:row>
                <xdr:rowOff>4</xdr:rowOff>
              </xdr:from>
              <xdr:to>
                <xdr:col>26</xdr:col>
                <xdr:colOff>52</xdr:colOff>
                <xdr:row>8</xdr:row>
                <xdr:rowOff>16</xdr:rowOff>
              </xdr:to>
            </anchor>
          </commentPr>
        </mc:Choice>
        <mc:Fallback/>
      </mc:AlternateContent>
    </comment>
  </commentList>
</comments>
</file>

<file path=xl/comments20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E1" authorId="0">
      <text>
        <r>
          <rPr>
            <sz val="10"/>
            <rFont val="Arial"/>
            <family val="2"/>
          </rPr>
          <t xml:space="preserve">José Romeu Gonçalves:
</t>
        </r>
        <r>
          <rPr>
            <sz val="9"/>
            <color rgb="FF000000"/>
            <rFont val="Tahoma"/>
            <family val="2"/>
            <charset val="1"/>
          </rPr>
          <t xml:space="preserve">
Full if Mode = Full Material</t>
        </r>
      </text>
      <mc:AlternateContent>
        <mc:Choice Requires="v2">
          <commentPr autoFill="true" autoScale="false" colHidden="false" locked="false" rowHidden="false" textHAlign="justify" textVAlign="top">
            <anchor moveWithCells="false" sizeWithCells="false">
              <xdr:from>
                <xdr:col>5</xdr:col>
                <xdr:colOff>32</xdr:colOff>
                <xdr:row>0</xdr:row>
                <xdr:rowOff>0</xdr:rowOff>
              </xdr:from>
              <xdr:to>
                <xdr:col>7</xdr:col>
                <xdr:colOff>36</xdr:colOff>
                <xdr:row>3</xdr:row>
                <xdr:rowOff>20</xdr:rowOff>
              </xdr:to>
            </anchor>
          </commentPr>
        </mc:Choice>
        <mc:Fallback/>
      </mc:AlternateContent>
    </comment>
    <comment ref="J1" authorId="1">
      <text>
        <r>
          <rPr>
            <sz val="10"/>
            <rFont val="Arial"/>
            <family val="2"/>
          </rPr>
          <t xml:space="preserve">Syntax:
</t>
        </r>
        <r>
          <rPr>
            <b val="true"/>
            <sz val="9"/>
            <color rgb="FF000000"/>
            <rFont val="Tahoma"/>
            <family val="2"/>
            <charset val="1"/>
          </rPr>
          <t xml:space="preserve">
Each action for the same Step/MaterialGroup is delimited by a semi-colon ';'
</t>
        </r>
        <r>
          <rPr>
            <sz val="9"/>
            <color rgb="FF000000"/>
            <rFont val="Tahoma"/>
            <family val="2"/>
            <charset val="1"/>
          </rPr>
          <t xml:space="preserve">
</t>
        </r>
        <r>
          <rPr>
            <b val="true"/>
            <u val="single"/>
            <sz val="9"/>
            <color rgb="FF000000"/>
            <rFont val="Tahoma"/>
            <family val="2"/>
            <charset val="1"/>
          </rPr>
          <t xml:space="preserve">Formats are:
</t>
        </r>
        <r>
          <rPr>
            <sz val="9"/>
            <color rgb="FF000000"/>
            <rFont val="Tahoma"/>
            <family val="2"/>
            <charset val="1"/>
          </rPr>
          <t xml:space="preserve">
For ChangeFlowAndStep ==&gt; Action[ChangeFlowAndStep] Event[EventName] Comment[Comment] DistributionList[DistributionList] Flowpath[FlowName:Position/StepName:Position]
For CreateSendAheadRun ==&gt;  </t>
        </r>
        <r>
          <rPr>
            <b val="true"/>
            <i val="true"/>
            <u val="single"/>
            <sz val="9"/>
            <color rgb="FF000000"/>
            <rFont val="Tahoma"/>
            <family val="2"/>
            <charset val="1"/>
          </rPr>
          <t xml:space="preserve">74224  (Solved?)
</t>
        </r>
        <r>
          <rPr>
            <sz val="9"/>
            <color rgb="FF000000"/>
            <rFont val="Tahoma"/>
            <family val="2"/>
            <charset val="1"/>
          </rPr>
          <t xml:space="preserve">For Hold ==&gt; Action[Hold] Event[EventName] Comment[Comment] DistributionList[DistributionList] Reason[HoldReasonName] ReleaseCode[Release Code] ReleaseRole[Release Role]
For SendMail ==&gt;  Action[SendMail] Event[EventName] DistributionList[DistributionList] Comment[Comment] SendMailCreateNotification[Yes or No] SendMailNotificationAssignmentType[] SendMailNotificationAssignedToEmployee[] SendMailNotificationAssignedToRole[]   74224</t>
        </r>
        <r>
          <rPr>
            <b val="true"/>
            <i val="true"/>
            <u val="single"/>
            <sz val="9"/>
            <color rgb="FF000000"/>
            <rFont val="Tahoma"/>
            <family val="2"/>
            <charset val="1"/>
          </rPr>
          <t xml:space="preserve"> (Solved?)
</t>
        </r>
        <r>
          <rPr>
            <sz val="9"/>
            <color rgb="FF000000"/>
            <rFont val="Tahoma"/>
            <family val="2"/>
            <charset val="1"/>
          </rPr>
          <t xml:space="preserve">For SetBOM ==&gt; Action[SetBOM] Event[TrackIn] BOM[BOMName] AssemblyType[AssemblyType]
For SetChecklist ==&gt; Action[SetChecklist] Event[EventName] Checklist[ChecklistName]
For SetDataCollection ==&gt; Action[SetDataCollection] Event[EventName] DataCollection[DCName] DataCollectionType[DCType] DataCollectionLimitSet[DCLSName]
For SetDurables ==&gt; Action[SetDurables] Event[TrackIn] BOM[BOMName] 
For SetMeasureAll ==&gt; Action[SetMeasureAll] Event[TrackIn]
For SetNote ==&gt; Action[SetNote] Event[EventName] Note[Note]
For TemporaryOffFlow ==&gt; Action[TemporaryOffFlow] Event[EventName] Comment[Comment] DistributionList[DistributionList] Reason[OffFlowReason] FlowPath[FlowName:Position/StepName:Position]
For Terminate ==&gt; Action[Terminate] Event[EventName] Comment[Comment] DistributionList[DistributionList] LossReason[LossReason]
For SetRecipe ==&gt; Action[SetRecipe] Event[TrackIn] Recipe[RecipeName]
For SetResource ==&gt; Action[SetResource] Event[Queued] Comment[Comment] Resource[A Resource name that provide step service] AutomaticDispatch[Yes/No]
For SetService ==&gt; Action[SetService] Event[Queued] Comment[Comment] Service[Service]
For SkipStep ==&gt; Action[SkipStep] </t>
        </r>
        <r>
          <rPr>
            <b val="true"/>
            <sz val="9"/>
            <color rgb="FF000000"/>
            <rFont val="Tahoma"/>
            <family val="2"/>
            <charset val="1"/>
          </rPr>
          <t xml:space="preserve">Event[Queued]</t>
        </r>
        <r>
          <rPr>
            <sz val="9"/>
            <color rgb="FF000000"/>
            <rFont val="Tahoma"/>
            <family val="2"/>
            <charset val="1"/>
          </rPr>
          <t xml:space="preserve"> Comment[Comment]  (Note: Step must be skipabble in the StepFlow) </t>
        </r>
        <r>
          <rPr>
            <b val="true"/>
            <i val="true"/>
            <u val="single"/>
            <sz val="9"/>
            <color rgb="FF000000"/>
            <rFont val="Tahoma"/>
            <family val="2"/>
            <charset val="1"/>
          </rPr>
          <t xml:space="preserve"> (Event Shouldn't required)
</t>
        </r>
        <r>
          <rPr>
            <sz val="9"/>
            <color rgb="FF000000"/>
            <rFont val="Tahoma"/>
            <family val="2"/>
            <charset val="1"/>
          </rPr>
          <t xml:space="preserve">For SetRecipe with parameter override ==&gt; Action[SetRecipe] Event[TrackIn] Recipe[RecipeName] RecipeParameters[Name[ParameterName1] Value[data]; Name[ParameterName2] Value[data]
</t>
        </r>
        <r>
          <rPr>
            <b val="true"/>
            <u val="single"/>
            <sz val="9"/>
            <color rgb="FF000000"/>
            <rFont val="Tahoma"/>
            <family val="2"/>
            <charset val="1"/>
          </rPr>
          <t xml:space="preserve">Events:
</t>
        </r>
        <r>
          <rPr>
            <sz val="9"/>
            <color rgb="FF000000"/>
            <rFont val="Tahoma"/>
            <family val="2"/>
            <charset val="1"/>
          </rPr>
          <t xml:space="preserve">Queued
Processed (For SetDataCollection and SetCheckList and TemporaryOffFlow)
TrackIn
TrackOut
</t>
        </r>
        <r>
          <rPr>
            <b val="true"/>
            <u val="single"/>
            <sz val="9"/>
            <color rgb="FF000000"/>
            <rFont val="Tahoma"/>
            <family val="2"/>
            <charset val="1"/>
          </rPr>
          <t xml:space="preserve">Comment</t>
        </r>
        <r>
          <rPr>
            <b val="true"/>
            <sz val="9"/>
            <color rgb="FF000000"/>
            <rFont val="Tahoma"/>
            <family val="2"/>
            <charset val="1"/>
          </rPr>
          <t xml:space="preserve">:</t>
        </r>
        <r>
          <rPr>
            <sz val="9"/>
            <color rgb="FF000000"/>
            <rFont val="Tahoma"/>
            <family val="2"/>
            <charset val="1"/>
          </rPr>
          <t xml:space="preserve"> Null or Comment
</t>
        </r>
        <r>
          <rPr>
            <b val="true"/>
            <u val="single"/>
            <sz val="9"/>
            <color rgb="FF000000"/>
            <rFont val="Tahoma"/>
            <family val="2"/>
            <charset val="1"/>
          </rPr>
          <t xml:space="preserve">DistributionList</t>
        </r>
        <r>
          <rPr>
            <u val="single"/>
            <sz val="9"/>
            <color rgb="FF000000"/>
            <rFont val="Tahoma"/>
            <family val="2"/>
            <charset val="1"/>
          </rPr>
          <t xml:space="preserve">:</t>
        </r>
        <r>
          <rPr>
            <sz val="9"/>
            <color rgb="FF000000"/>
            <rFont val="Tahoma"/>
            <family val="2"/>
            <charset val="1"/>
          </rPr>
          <t xml:space="preserve"> Null or distribution List
</t>
        </r>
        <r>
          <rPr>
            <b val="true"/>
            <u val="single"/>
            <sz val="9"/>
            <color rgb="FF000000"/>
            <rFont val="Tahoma"/>
            <family val="2"/>
            <charset val="1"/>
          </rPr>
          <t xml:space="preserve">SetDataCollectionDataCollectionType</t>
        </r>
        <r>
          <rPr>
            <sz val="9"/>
            <color rgb="FF000000"/>
            <rFont val="Tahoma"/>
            <family val="2"/>
            <charset val="1"/>
          </rPr>
          <t xml:space="preserve">: 
Immediate
LongRunning
LongRunningAfterTrackIn
</t>
        </r>
        <r>
          <rPr>
            <b val="true"/>
            <u val="single"/>
            <sz val="9"/>
            <color rgb="FF000000"/>
            <rFont val="Tahoma"/>
            <family val="2"/>
            <charset val="1"/>
          </rPr>
          <t xml:space="preserve">SendMailNotificationAssignmentType
</t>
        </r>
        <r>
          <rPr>
            <sz val="9"/>
            <color rgb="FF000000"/>
            <rFont val="Tahoma"/>
            <family val="2"/>
            <charset val="1"/>
          </rPr>
          <t xml:space="preserve">Employee
Everyone
Role</t>
        </r>
      </text>
      <mc:AlternateContent>
        <mc:Choice Requires="v2">
          <commentPr autoFill="true" autoScale="false" colHidden="false" locked="false" rowHidden="false" textHAlign="justify" textVAlign="top">
            <anchor moveWithCells="false" sizeWithCells="false">
              <xdr:from>
                <xdr:col>1</xdr:col>
                <xdr:colOff>88</xdr:colOff>
                <xdr:row>4</xdr:row>
                <xdr:rowOff>8</xdr:rowOff>
              </xdr:from>
              <xdr:to>
                <xdr:col>12</xdr:col>
                <xdr:colOff>12</xdr:colOff>
                <xdr:row>41</xdr:row>
                <xdr:rowOff>8</xdr:rowOff>
              </xdr:to>
            </anchor>
          </commentPr>
        </mc:Choice>
        <mc:Fallback/>
      </mc:AlternateContent>
    </comment>
  </commentList>
</comments>
</file>

<file path=xl/comments20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Manuel Maria Brandão</author>
  </authors>
  <commentList>
    <comment ref="A1" authorId="0">
      <text>
        <r>
          <rPr>
            <sz val="10"/>
            <rFont val="Arial"/>
            <family val="2"/>
          </rPr>
          <t xml:space="preserve">Configures the different severity levels of the Notification object.</t>
        </r>
      </text>
      <mc:AlternateContent>
        <mc:Choice Requires="v2">
          <commentPr autoFill="true" autoScale="false" colHidden="false" locked="false" rowHidden="false" textHAlign="justify" textVAlign="top">
            <anchor moveWithCells="false" sizeWithCells="false">
              <xdr:from>
                <xdr:col>2</xdr:col>
                <xdr:colOff>48</xdr:colOff>
                <xdr:row>9</xdr:row>
                <xdr:rowOff>0</xdr:rowOff>
              </xdr:from>
              <xdr:to>
                <xdr:col>4</xdr:col>
                <xdr:colOff>52</xdr:colOff>
                <xdr:row>10</xdr:row>
                <xdr:rowOff>16</xdr:rowOff>
              </xdr:to>
            </anchor>
          </commentPr>
        </mc:Choice>
        <mc:Fallback/>
      </mc:AlternateContent>
    </comment>
  </commentList>
</comments>
</file>

<file path=xl/comments20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NotificationType</t>
        </r>
      </text>
      <mc:AlternateContent>
        <mc:Choice Requires="v2">
          <commentPr autoFill="true" autoScale="false" colHidden="false" locked="false" rowHidden="false" textHAlign="justify" textVAlign="top">
            <anchor moveWithCells="false" sizeWithCells="false">
              <xdr:from>
                <xdr:col>1</xdr:col>
                <xdr:colOff>56</xdr:colOff>
                <xdr:row>3</xdr:row>
                <xdr:rowOff>8</xdr:rowOff>
              </xdr:from>
              <xdr:to>
                <xdr:col>4</xdr:col>
                <xdr:colOff>40</xdr:colOff>
                <xdr:row>6</xdr:row>
                <xdr:rowOff>4</xdr:rowOff>
              </xdr:to>
            </anchor>
          </commentPr>
        </mc:Choice>
        <mc:Fallback/>
      </mc:AlternateContent>
    </comment>
    <comment ref="F1" authorId="0">
      <text>
        <r>
          <rPr>
            <sz val="10"/>
            <rFont val="Arial"/>
            <family val="2"/>
          </rPr>
          <t xml:space="preserve">José Romeu Gonçalves:
</t>
        </r>
        <r>
          <rPr>
            <sz val="9"/>
            <color rgb="FF000000"/>
            <rFont val="Tahoma"/>
            <family val="2"/>
            <charset val="1"/>
          </rPr>
          <t xml:space="preserve">
Enter a Title. It is possible to add hyperlinks to objects using the syntax [EntityType EntityName]. For example, the title: Material [Material Lot1] was put on hold for reason [Reason Reason1] will create two hyperlinks - one for Material Lot1 and another for Reason Reason1.</t>
        </r>
      </text>
      <mc:AlternateContent>
        <mc:Choice Requires="v2">
          <commentPr autoFill="true" autoScale="false" colHidden="false" locked="false" rowHidden="false" textHAlign="justify" textVAlign="top">
            <anchor moveWithCells="false" sizeWithCells="false">
              <xdr:from>
                <xdr:col>3</xdr:col>
                <xdr:colOff>0</xdr:colOff>
                <xdr:row>4</xdr:row>
                <xdr:rowOff>8</xdr:rowOff>
              </xdr:from>
              <xdr:to>
                <xdr:col>8</xdr:col>
                <xdr:colOff>96</xdr:colOff>
                <xdr:row>9</xdr:row>
                <xdr:rowOff>12</xdr:rowOff>
              </xdr:to>
            </anchor>
          </commentPr>
        </mc:Choice>
        <mc:Fallback/>
      </mc:AlternateContent>
    </comment>
    <comment ref="G1" authorId="0">
      <text>
        <r>
          <rPr>
            <sz val="10"/>
            <rFont val="Arial"/>
            <family val="2"/>
          </rPr>
          <t xml:space="preserve">José Romeu Gonçalves:
</t>
        </r>
        <r>
          <rPr>
            <sz val="9"/>
            <color rgb="FF000000"/>
            <rFont val="Tahoma"/>
            <family val="2"/>
            <charset val="1"/>
          </rPr>
          <t xml:space="preserve">A RTF/HTML text
</t>
        </r>
      </text>
      <mc:AlternateContent>
        <mc:Choice Requires="v2">
          <commentPr autoFill="true" autoScale="false" colHidden="false" locked="false" rowHidden="false" textHAlign="justify" textVAlign="top">
            <anchor moveWithCells="false" sizeWithCells="false">
              <xdr:from>
                <xdr:col>6</xdr:col>
                <xdr:colOff>48</xdr:colOff>
                <xdr:row>0</xdr:row>
                <xdr:rowOff>0</xdr:rowOff>
              </xdr:from>
              <xdr:to>
                <xdr:col>8</xdr:col>
                <xdr:colOff>96</xdr:colOff>
                <xdr:row>2</xdr:row>
                <xdr:rowOff>16</xdr:rowOff>
              </xdr:to>
            </anchor>
          </commentPr>
        </mc:Choice>
        <mc:Fallback/>
      </mc:AlternateContent>
    </comment>
    <comment ref="H1" authorId="0">
      <text>
        <r>
          <rPr>
            <sz val="10"/>
            <rFont val="Arial"/>
            <family val="2"/>
          </rPr>
          <t xml:space="preserve">José Romeu Gonçalves:
</t>
        </r>
        <r>
          <rPr>
            <sz val="9"/>
            <color rgb="FF000000"/>
            <rFont val="Tahoma"/>
            <family val="2"/>
            <charset val="1"/>
          </rPr>
          <t xml:space="preserve">
lookup table NotificationSeverity. The generic table NotificationSeverity configures the behavior for the different Notification severities defining the colors and display mode of the Notification.</t>
        </r>
      </text>
      <mc:AlternateContent>
        <mc:Choice Requires="v2">
          <commentPr autoFill="true" autoScale="false" colHidden="false" locked="false" rowHidden="false" textHAlign="justify" textVAlign="top">
            <anchor moveWithCells="false" sizeWithCells="false">
              <xdr:from>
                <xdr:col>4</xdr:col>
                <xdr:colOff>32</xdr:colOff>
                <xdr:row>4</xdr:row>
                <xdr:rowOff>8</xdr:rowOff>
              </xdr:from>
              <xdr:to>
                <xdr:col>8</xdr:col>
                <xdr:colOff>108</xdr:colOff>
                <xdr:row>9</xdr:row>
                <xdr:rowOff>8</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Visibility filters can be used to filter the Notifications to be displayed in the Notifications window according to the user's Employee Workgroup</t>
        </r>
      </text>
      <mc:AlternateContent>
        <mc:Choice Requires="v2">
          <commentPr autoFill="true" autoScale="false" colHidden="false" locked="false" rowHidden="false" textHAlign="justify" textVAlign="top">
            <anchor moveWithCells="false" sizeWithCells="false">
              <xdr:from>
                <xdr:col>12</xdr:col>
                <xdr:colOff>44</xdr:colOff>
                <xdr:row>3</xdr:row>
                <xdr:rowOff>12</xdr:rowOff>
              </xdr:from>
              <xdr:to>
                <xdr:col>16</xdr:col>
                <xdr:colOff>4</xdr:colOff>
                <xdr:row>7</xdr:row>
                <xdr:rowOff>8</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Context for the Notification, which can also be used for visibility filtering. Some contexts are mandatory, based on the defined visibility.</t>
        </r>
      </text>
      <mc:AlternateContent>
        <mc:Choice Requires="v2">
          <commentPr autoFill="true" autoScale="false" colHidden="false" locked="false" rowHidden="false" textHAlign="justify" textVAlign="top">
            <anchor moveWithCells="false" sizeWithCells="false">
              <xdr:from>
                <xdr:col>13</xdr:col>
                <xdr:colOff>16</xdr:colOff>
                <xdr:row>3</xdr:row>
                <xdr:rowOff>12</xdr:rowOff>
              </xdr:from>
              <xdr:to>
                <xdr:col>17</xdr:col>
                <xdr:colOff>24</xdr:colOff>
                <xdr:row>7</xdr:row>
                <xdr:rowOff>20</xdr:rowOff>
              </xdr:to>
            </anchor>
          </commentPr>
        </mc:Choice>
        <mc:Fallback/>
      </mc:AlternateContent>
    </comment>
    <comment ref="P1" authorId="0">
      <text>
        <r>
          <rPr>
            <sz val="10"/>
            <rFont val="Arial"/>
            <family val="2"/>
          </rPr>
          <t xml:space="preserve">José Romeu Gonçalves:
</t>
        </r>
        <r>
          <rPr>
            <sz val="9"/>
            <color rgb="FF000000"/>
            <rFont val="Tahoma"/>
            <family val="2"/>
            <charset val="1"/>
          </rPr>
          <t xml:space="preserve">
Context for the Notification, which can also be used for visibility filtering. Some contexts are mandatory, based on the defined visibility.</t>
        </r>
      </text>
      <mc:AlternateContent>
        <mc:Choice Requires="v2">
          <commentPr autoFill="true" autoScale="false" colHidden="false" locked="false" rowHidden="false" textHAlign="justify" textVAlign="top">
            <anchor moveWithCells="false" sizeWithCells="false">
              <xdr:from>
                <xdr:col>12</xdr:col>
                <xdr:colOff>112</xdr:colOff>
                <xdr:row>3</xdr:row>
                <xdr:rowOff>4</xdr:rowOff>
              </xdr:from>
              <xdr:to>
                <xdr:col>16</xdr:col>
                <xdr:colOff>60</xdr:colOff>
                <xdr:row>7</xdr:row>
                <xdr:rowOff>12</xdr:rowOff>
              </xdr:to>
            </anchor>
          </commentPr>
        </mc:Choice>
        <mc:Fallback/>
      </mc:AlternateContent>
    </comment>
    <comment ref="Q1" authorId="0">
      <text>
        <r>
          <rPr>
            <sz val="10"/>
            <rFont val="Arial"/>
            <family val="2"/>
          </rPr>
          <t xml:space="preserve">José Romeu Gonçalves:
</t>
        </r>
        <r>
          <rPr>
            <sz val="9"/>
            <color rgb="FF000000"/>
            <rFont val="Tahoma"/>
            <family val="2"/>
            <charset val="1"/>
          </rPr>
          <t xml:space="preserve">
Context for the Notification, which can also be used for visibility filtering. Some contexts are mandatory, based on the defined visibility.</t>
        </r>
      </text>
      <mc:AlternateContent>
        <mc:Choice Requires="v2">
          <commentPr autoFill="true" autoScale="false" colHidden="false" locked="false" rowHidden="false" textHAlign="justify" textVAlign="top">
            <anchor moveWithCells="false" sizeWithCells="false">
              <xdr:from>
                <xdr:col>13</xdr:col>
                <xdr:colOff>4</xdr:colOff>
                <xdr:row>3</xdr:row>
                <xdr:rowOff>0</xdr:rowOff>
              </xdr:from>
              <xdr:to>
                <xdr:col>17</xdr:col>
                <xdr:colOff>20</xdr:colOff>
                <xdr:row>7</xdr:row>
                <xdr:rowOff>8</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Context for the Notification, which can also be used for visibility filtering. Some contexts are mandatory, based on the defined visibility.</t>
        </r>
      </text>
      <mc:AlternateContent>
        <mc:Choice Requires="v2">
          <commentPr autoFill="true" autoScale="false" colHidden="false" locked="false" rowHidden="false" textHAlign="justify" textVAlign="top">
            <anchor moveWithCells="false" sizeWithCells="false">
              <xdr:from>
                <xdr:col>13</xdr:col>
                <xdr:colOff>20</xdr:colOff>
                <xdr:row>3</xdr:row>
                <xdr:rowOff>4</xdr:rowOff>
              </xdr:from>
              <xdr:to>
                <xdr:col>17</xdr:col>
                <xdr:colOff>28</xdr:colOff>
                <xdr:row>7</xdr:row>
                <xdr:rowOff>16</xdr:rowOff>
              </xdr:to>
            </anchor>
          </commentPr>
        </mc:Choice>
        <mc:Fallback/>
      </mc:AlternateContent>
    </comment>
    <comment ref="S1" authorId="0">
      <text>
        <r>
          <rPr>
            <sz val="10"/>
            <rFont val="Arial"/>
            <family val="2"/>
          </rPr>
          <t xml:space="preserve">José Romeu Gonçalves:
</t>
        </r>
        <r>
          <rPr>
            <sz val="9"/>
            <color rgb="FF000000"/>
            <rFont val="Tahoma"/>
            <family val="2"/>
            <charset val="1"/>
          </rPr>
          <t xml:space="preserve">
Context for the Notification, which can also be used for visibility filtering. Some contexts are mandatory, based on the defined visibility.</t>
        </r>
      </text>
      <mc:AlternateContent>
        <mc:Choice Requires="v2">
          <commentPr autoFill="true" autoScale="false" colHidden="false" locked="false" rowHidden="false" textHAlign="justify" textVAlign="top">
            <anchor moveWithCells="false" sizeWithCells="false">
              <xdr:from>
                <xdr:col>14</xdr:col>
                <xdr:colOff>0</xdr:colOff>
                <xdr:row>3</xdr:row>
                <xdr:rowOff>8</xdr:rowOff>
              </xdr:from>
              <xdr:to>
                <xdr:col>19</xdr:col>
                <xdr:colOff>8</xdr:colOff>
                <xdr:row>7</xdr:row>
                <xdr:rowOff>16</xdr:rowOff>
              </xdr:to>
            </anchor>
          </commentPr>
        </mc:Choice>
        <mc:Fallback/>
      </mc:AlternateContent>
    </comment>
    <comment ref="T1" authorId="0">
      <text>
        <r>
          <rPr>
            <sz val="10"/>
            <rFont val="Arial"/>
            <family val="2"/>
          </rPr>
          <t xml:space="preserve">José Romeu Gonçalves:
</t>
        </r>
        <r>
          <rPr>
            <sz val="9"/>
            <color rgb="FF000000"/>
            <rFont val="Tahoma"/>
            <family val="2"/>
            <charset val="1"/>
          </rPr>
          <t xml:space="preserve">
ManualEveryUser - every user must clear it.
ManualSingleUser - the first user will clear it for everyone.
Automatic - the notification will be cleared by the system when the Valid To date/time is reached.</t>
        </r>
      </text>
      <mc:AlternateContent>
        <mc:Choice Requires="v2">
          <commentPr autoFill="true" autoScale="false" colHidden="false" locked="false" rowHidden="false" textHAlign="justify" textVAlign="top">
            <anchor moveWithCells="false" sizeWithCells="false">
              <xdr:from>
                <xdr:col>13</xdr:col>
                <xdr:colOff>84</xdr:colOff>
                <xdr:row>3</xdr:row>
                <xdr:rowOff>16</xdr:rowOff>
              </xdr:from>
              <xdr:to>
                <xdr:col>19</xdr:col>
                <xdr:colOff>60</xdr:colOff>
                <xdr:row>10</xdr:row>
                <xdr:rowOff>4</xdr:rowOff>
              </xdr:to>
            </anchor>
          </commentPr>
        </mc:Choice>
        <mc:Fallback/>
      </mc:AlternateContent>
    </comment>
    <comment ref="U1" authorId="0">
      <text>
        <r>
          <rPr>
            <sz val="10"/>
            <rFont val="Arial"/>
            <family val="2"/>
          </rPr>
          <t xml:space="preserve">José Romeu Gonçalves:
</t>
        </r>
        <r>
          <rPr>
            <sz val="9"/>
            <color rgb="FF000000"/>
            <rFont val="Tahoma"/>
            <family val="2"/>
            <charset val="1"/>
          </rPr>
          <t xml:space="preserve">
Mandatory for ManualEveryUSer and Automatic, but optional for ManualSingleUSer</t>
        </r>
      </text>
      <mc:AlternateContent>
        <mc:Choice Requires="v2">
          <commentPr autoFill="true" autoScale="false" colHidden="false" locked="false" rowHidden="false" textHAlign="justify" textVAlign="top">
            <anchor moveWithCells="false" sizeWithCells="false">
              <xdr:from>
                <xdr:col>15</xdr:col>
                <xdr:colOff>24</xdr:colOff>
                <xdr:row>4</xdr:row>
                <xdr:rowOff>8</xdr:rowOff>
              </xdr:from>
              <xdr:to>
                <xdr:col>19</xdr:col>
                <xdr:colOff>76</xdr:colOff>
                <xdr:row>7</xdr:row>
                <xdr:rowOff>20</xdr:rowOff>
              </xdr:to>
            </anchor>
          </commentPr>
        </mc:Choice>
        <mc:Fallback/>
      </mc:AlternateContent>
    </comment>
  </commentList>
</comments>
</file>

<file path=xl/comments2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MapDefinitionType.</t>
        </r>
      </text>
      <mc:AlternateContent>
        <mc:Choice Requires="v2">
          <commentPr autoFill="true" autoScale="false" colHidden="false" locked="false" rowHidden="false" textHAlign="justify" textVAlign="top">
            <anchor moveWithCells="false" sizeWithCells="false">
              <xdr:from>
                <xdr:col>3</xdr:col>
                <xdr:colOff>4</xdr:colOff>
                <xdr:row>6</xdr:row>
                <xdr:rowOff>8</xdr:rowOff>
              </xdr:from>
              <xdr:to>
                <xdr:col>5</xdr:col>
                <xdr:colOff>41</xdr:colOff>
                <xdr:row>8</xdr:row>
                <xdr:rowOff>16</xdr:rowOff>
              </xdr:to>
            </anchor>
          </commentPr>
        </mc:Choice>
        <mc:Fallback/>
      </mc:AlternateContent>
    </comment>
    <comment ref="E1" authorId="0">
      <text>
        <r>
          <rPr>
            <sz val="10"/>
            <rFont val="Arial"/>
            <family val="2"/>
          </rPr>
          <t xml:space="preserve">José Romeu Gonçalves:
</t>
        </r>
        <r>
          <rPr>
            <sz val="9"/>
            <color rgb="FF000000"/>
            <rFont val="Tahoma"/>
            <family val="2"/>
            <charset val="1"/>
          </rPr>
          <t xml:space="preserve">
Regular: the map consists of units that are regular rectangles or squares.
Irregular: the map consists of units that have irregular shapes and positions. In this case it's necessary to provide a layout file according to the expected format</t>
        </r>
      </text>
      <mc:AlternateContent>
        <mc:Choice Requires="v2">
          <commentPr autoFill="true" autoScale="false" colHidden="false" locked="false" rowHidden="false" textHAlign="justify" textVAlign="top">
            <anchor moveWithCells="false" sizeWithCells="false">
              <xdr:from>
                <xdr:col>1</xdr:col>
                <xdr:colOff>60</xdr:colOff>
                <xdr:row>2</xdr:row>
                <xdr:rowOff>8</xdr:rowOff>
              </xdr:from>
              <xdr:to>
                <xdr:col>8</xdr:col>
                <xdr:colOff>44</xdr:colOff>
                <xdr:row>7</xdr:row>
                <xdr:rowOff>12</xdr:rowOff>
              </xdr:to>
            </anchor>
          </commentPr>
        </mc:Choice>
        <mc:Fallback/>
      </mc:AlternateContent>
    </comment>
    <comment ref="K1" authorId="0">
      <text>
        <r>
          <rPr>
            <sz val="10"/>
            <rFont val="Arial"/>
            <family val="2"/>
          </rPr>
          <t xml:space="preserve">José Romeu Gonçalves:
</t>
        </r>
        <r>
          <rPr>
            <sz val="9"/>
            <color rgb="FF000000"/>
            <rFont val="Tahoma"/>
            <family val="2"/>
            <charset val="1"/>
          </rPr>
          <t xml:space="preserve">
A Mask is a XML file compliant with the G85 format. The units with the NullBin value are considered as non-existing in the Map Definition. All other values are considered as existing units.</t>
        </r>
      </text>
      <mc:AlternateContent>
        <mc:Choice Requires="v2">
          <commentPr autoFill="true" autoScale="false" colHidden="false" locked="false" rowHidden="false" textHAlign="justify" textVAlign="top">
            <anchor moveWithCells="false" sizeWithCells="false">
              <xdr:from>
                <xdr:col>10</xdr:col>
                <xdr:colOff>76</xdr:colOff>
                <xdr:row>4</xdr:row>
                <xdr:rowOff>4</xdr:rowOff>
              </xdr:from>
              <xdr:to>
                <xdr:col>12</xdr:col>
                <xdr:colOff>48</xdr:colOff>
                <xdr:row>9</xdr:row>
                <xdr:rowOff>20</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None, no notch
Bottom, notch at the bottom of the map
Left, notch at the left of the map
Right, notch at the right of the map
Top, notch at the top of the map</t>
        </r>
      </text>
      <mc:AlternateContent>
        <mc:Choice Requires="v2">
          <commentPr autoFill="true" autoScale="false" colHidden="false" locked="false" rowHidden="false" textHAlign="justify" textVAlign="top">
            <anchor moveWithCells="false" sizeWithCells="false">
              <xdr:from>
                <xdr:col>12</xdr:col>
                <xdr:colOff>24</xdr:colOff>
                <xdr:row>9</xdr:row>
                <xdr:rowOff>0</xdr:rowOff>
              </xdr:from>
              <xdr:to>
                <xdr:col>13</xdr:col>
                <xdr:colOff>156</xdr:colOff>
                <xdr:row>14</xdr:row>
                <xdr:rowOff>16</xdr:rowOff>
              </xdr:to>
            </anchor>
          </commentPr>
        </mc:Choice>
        <mc:Fallback/>
      </mc:AlternateContent>
    </comment>
    <comment ref="R1" authorId="0">
      <text>
        <r>
          <rPr>
            <sz val="10"/>
            <rFont val="Arial"/>
            <family val="2"/>
          </rPr>
          <t xml:space="preserve">José Romeu Gonçalves:
</t>
        </r>
        <r>
          <rPr>
            <sz val="9"/>
            <color rgb="FF000000"/>
            <rFont val="Tahoma"/>
            <family val="2"/>
            <charset val="1"/>
          </rPr>
          <t xml:space="preserve">
Absolute, starts with one and continues even in the case of breaks
ContinueOnBreak, starts with one and skips breaks
ResetOnBreak, starts with one but it's reset whenever there is a break</t>
        </r>
      </text>
      <mc:AlternateContent>
        <mc:Choice Requires="v2">
          <commentPr autoFill="true" autoScale="false" colHidden="false" locked="false" rowHidden="false" textHAlign="justify" textVAlign="top">
            <anchor moveWithCells="false" sizeWithCells="false">
              <xdr:from>
                <xdr:col>13</xdr:col>
                <xdr:colOff>96</xdr:colOff>
                <xdr:row>8</xdr:row>
                <xdr:rowOff>12</xdr:rowOff>
              </xdr:from>
              <xdr:to>
                <xdr:col>18</xdr:col>
                <xdr:colOff>8</xdr:colOff>
                <xdr:row>12</xdr:row>
                <xdr:rowOff>16</xdr:rowOff>
              </xdr:to>
            </anchor>
          </commentPr>
        </mc:Choice>
        <mc:Fallback/>
      </mc:AlternateContent>
    </comment>
  </commentList>
</comments>
</file>

<file path=xl/comments2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D1" authorId="1">
      <text>
        <r>
          <rPr>
            <sz val="10"/>
            <rFont val="Arial"/>
            <family val="2"/>
          </rPr>
          <t xml:space="preserve">Value Must belong to:
</t>
        </r>
        <r>
          <rPr>
            <sz val="9"/>
            <color rgb="FF000000"/>
            <rFont val="Tahoma"/>
            <family val="2"/>
            <charset val="1"/>
          </rPr>
          <t xml:space="preserve">LossClassification table Name</t>
        </r>
      </text>
      <mc:AlternateContent>
        <mc:Choice Requires="v2">
          <commentPr autoFill="true" autoScale="false" colHidden="false" locked="false" rowHidden="false" textHAlign="justify" textVAlign="top">
            <anchor moveWithCells="false" sizeWithCells="false">
              <xdr:from>
                <xdr:col>1</xdr:col>
                <xdr:colOff>84</xdr:colOff>
                <xdr:row>3</xdr:row>
                <xdr:rowOff>0</xdr:rowOff>
              </xdr:from>
              <xdr:to>
                <xdr:col>3</xdr:col>
                <xdr:colOff>120</xdr:colOff>
                <xdr:row>5</xdr:row>
                <xdr:rowOff>12</xdr:rowOff>
              </xdr:to>
            </anchor>
          </commentPr>
        </mc:Choice>
        <mc:Fallback/>
      </mc:AlternateContent>
    </comment>
    <comment ref="E1" authorId="1">
      <text>
        <r>
          <rPr>
            <sz val="10"/>
            <rFont val="Arial"/>
            <family val="2"/>
          </rPr>
          <t xml:space="preserve">Value Must be:
</t>
        </r>
        <r>
          <rPr>
            <sz val="9"/>
            <color rgb="FF000000"/>
            <rFont val="Tahoma"/>
            <family val="2"/>
            <charset val="1"/>
          </rPr>
          <t xml:space="preserve">Existing Bonus Reason
Optional</t>
        </r>
      </text>
      <mc:AlternateContent>
        <mc:Choice Requires="v2">
          <commentPr autoFill="true" autoScale="false" colHidden="false" locked="false" rowHidden="false" textHAlign="justify" textVAlign="top">
            <anchor moveWithCells="false" sizeWithCells="false">
              <xdr:from>
                <xdr:col>2</xdr:col>
                <xdr:colOff>24</xdr:colOff>
                <xdr:row>2</xdr:row>
                <xdr:rowOff>16</xdr:rowOff>
              </xdr:from>
              <xdr:to>
                <xdr:col>3</xdr:col>
                <xdr:colOff>128</xdr:colOff>
                <xdr:row>6</xdr:row>
                <xdr:rowOff>4</xdr:rowOff>
              </xdr:to>
            </anchor>
          </commentPr>
        </mc:Choice>
        <mc:Fallback/>
      </mc:AlternateContent>
    </comment>
    <comment ref="F1" authorId="1">
      <text>
        <r>
          <rPr>
            <sz val="10"/>
            <rFont val="Arial"/>
            <family val="2"/>
          </rPr>
          <t xml:space="preserve">Value Must belong to:
Fill only for:
</t>
        </r>
        <r>
          <rPr>
            <sz val="9"/>
            <color rgb="FF000000"/>
            <rFont val="Tahoma"/>
            <family val="2"/>
            <charset val="1"/>
          </rPr>
          <t xml:space="preserve">
Bin
Attribute
Measurement
</t>
        </r>
        <r>
          <rPr>
            <b val="true"/>
            <sz val="9"/>
            <color rgb="FF000000"/>
            <rFont val="Tahoma"/>
            <family val="2"/>
            <charset val="1"/>
          </rPr>
          <t xml:space="preserve">
Values:
</t>
        </r>
        <r>
          <rPr>
            <sz val="9"/>
            <color rgb="FF000000"/>
            <rFont val="Tahoma"/>
            <family val="2"/>
            <charset val="1"/>
          </rPr>
          <t xml:space="preserve">
Boolean
Decimal
String
Long
Integer
For Loss and LossClassification is "String"</t>
        </r>
      </text>
      <mc:AlternateContent>
        <mc:Choice Requires="v2">
          <commentPr autoFill="true" autoScale="false" colHidden="false" locked="false" rowHidden="false" textHAlign="justify" textVAlign="top">
            <anchor moveWithCells="false" sizeWithCells="false">
              <xdr:from>
                <xdr:col>3</xdr:col>
                <xdr:colOff>84</xdr:colOff>
                <xdr:row>5</xdr:row>
                <xdr:rowOff>16</xdr:rowOff>
              </xdr:from>
              <xdr:to>
                <xdr:col>6</xdr:col>
                <xdr:colOff>4</xdr:colOff>
                <xdr:row>19</xdr:row>
                <xdr:rowOff>8</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Name[FilterName] PreSelect[Yes/No] IsFilterGood[Yes/No] FilterType[] FilterItem[] PickCode[] UnitsBackgroundColor[] UnitsForegroundColor[] LossReason[]</t>
        </r>
      </text>
      <mc:AlternateContent>
        <mc:Choice Requires="v2">
          <commentPr autoFill="true" autoScale="false" colHidden="false" locked="false" rowHidden="false" textHAlign="justify" textVAlign="top">
            <anchor moveWithCells="false" sizeWithCells="false">
              <xdr:from>
                <xdr:col>10</xdr:col>
                <xdr:colOff>16</xdr:colOff>
                <xdr:row>6</xdr:row>
                <xdr:rowOff>12</xdr:rowOff>
              </xdr:from>
              <xdr:to>
                <xdr:col>16</xdr:col>
                <xdr:colOff>116</xdr:colOff>
                <xdr:row>9</xdr:row>
                <xdr:rowOff>12</xdr:rowOff>
              </xdr:to>
            </anchor>
          </commentPr>
        </mc:Choice>
        <mc:Fallback/>
      </mc:AlternateContent>
    </comment>
  </commentList>
</comments>
</file>

<file path=xl/comments2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José Romeu Gonçalves</author>
    <author>Manuel Maria Brandão</author>
  </authors>
  <commentList>
    <comment ref="C1" authorId="1">
      <text>
        <r>
          <rPr>
            <sz val="10"/>
            <rFont val="Arial"/>
            <family val="2"/>
          </rPr>
          <t xml:space="preserve">Value Must belong to:
</t>
        </r>
        <r>
          <rPr>
            <sz val="9"/>
            <color rgb="FF000000"/>
            <rFont val="Tahoma"/>
            <family val="2"/>
            <charset val="1"/>
          </rPr>
          <t xml:space="preserve">LookupTable MaterialType</t>
        </r>
      </text>
      <mc:AlternateContent>
        <mc:Choice Requires="v2">
          <commentPr autoFill="true" autoScale="false" colHidden="false" locked="false" rowHidden="false" textHAlign="justify" textVAlign="top">
            <anchor moveWithCells="false" sizeWithCells="false">
              <xdr:from>
                <xdr:col>0</xdr:col>
                <xdr:colOff>140</xdr:colOff>
                <xdr:row>3</xdr:row>
                <xdr:rowOff>0</xdr:rowOff>
              </xdr:from>
              <xdr:to>
                <xdr:col>1</xdr:col>
                <xdr:colOff>60</xdr:colOff>
                <xdr:row>5</xdr:row>
                <xdr:rowOff>12</xdr:rowOff>
              </xdr:to>
            </anchor>
          </commentPr>
        </mc:Choice>
        <mc:Fallback/>
      </mc:AlternateContent>
    </comment>
    <comment ref="F1" authorId="1">
      <text>
        <r>
          <rPr>
            <sz val="10"/>
            <rFont val="Arial"/>
            <family val="2"/>
          </rPr>
          <t xml:space="preserve">Value Must belong to:
</t>
        </r>
        <r>
          <rPr>
            <sz val="9"/>
            <color rgb="FF000000"/>
            <rFont val="Tahoma"/>
            <family val="2"/>
            <charset val="1"/>
          </rPr>
          <t xml:space="preserve">LookupTable MaterialForm</t>
        </r>
      </text>
      <mc:AlternateContent>
        <mc:Choice Requires="v2">
          <commentPr autoFill="true" autoScale="false" colHidden="false" locked="false" rowHidden="false" textHAlign="justify" textVAlign="top">
            <anchor moveWithCells="false" sizeWithCells="false">
              <xdr:from>
                <xdr:col>1</xdr:col>
                <xdr:colOff>80</xdr:colOff>
                <xdr:row>4</xdr:row>
                <xdr:rowOff>8</xdr:rowOff>
              </xdr:from>
              <xdr:to>
                <xdr:col>2</xdr:col>
                <xdr:colOff>-22</xdr:colOff>
                <xdr:row>6</xdr:row>
                <xdr:rowOff>20</xdr:rowOff>
              </xdr:to>
            </anchor>
          </commentPr>
        </mc:Choice>
        <mc:Fallback/>
      </mc:AlternateContent>
    </comment>
    <comment ref="G1" authorId="1">
      <text>
        <r>
          <rPr>
            <sz val="10"/>
            <rFont val="Arial"/>
            <family val="2"/>
          </rPr>
          <t xml:space="preserve">Value Must be:
</t>
        </r>
        <r>
          <rPr>
            <sz val="9"/>
            <color rgb="FF000000"/>
            <rFont val="Tahoma"/>
            <family val="2"/>
            <charset val="1"/>
          </rPr>
          <t xml:space="preserve">Existing Facility Name</t>
        </r>
      </text>
      <mc:AlternateContent>
        <mc:Choice Requires="v2">
          <commentPr autoFill="true" autoScale="false" colHidden="false" locked="false" rowHidden="false" textHAlign="justify" textVAlign="top">
            <anchor moveWithCells="false" sizeWithCells="false">
              <xdr:from>
                <xdr:col>1</xdr:col>
                <xdr:colOff>132</xdr:colOff>
                <xdr:row>5</xdr:row>
                <xdr:rowOff>4</xdr:rowOff>
              </xdr:from>
              <xdr:to>
                <xdr:col>2</xdr:col>
                <xdr:colOff>16</xdr:colOff>
                <xdr:row>7</xdr:row>
                <xdr:rowOff>16</xdr:rowOff>
              </xdr:to>
            </anchor>
          </commentPr>
        </mc:Choice>
        <mc:Fallback/>
      </mc:AlternateContent>
    </comment>
    <comment ref="H1" authorId="1">
      <text>
        <r>
          <rPr>
            <sz val="10"/>
            <rFont val="Arial"/>
            <family val="2"/>
          </rPr>
          <t xml:space="preserve">Value Must be:
</t>
        </r>
        <r>
          <rPr>
            <sz val="9"/>
            <color rgb="FF000000"/>
            <rFont val="Tahoma"/>
            <family val="2"/>
            <charset val="1"/>
          </rPr>
          <t xml:space="preserve">Existing Product Name</t>
        </r>
      </text>
      <mc:AlternateContent>
        <mc:Choice Requires="v2">
          <commentPr autoFill="true" autoScale="false" colHidden="false" locked="false" rowHidden="false" textHAlign="justify" textVAlign="top">
            <anchor moveWithCells="false" sizeWithCells="false">
              <xdr:from>
                <xdr:col>1</xdr:col>
                <xdr:colOff>68</xdr:colOff>
                <xdr:row>2</xdr:row>
                <xdr:rowOff>16</xdr:rowOff>
              </xdr:from>
              <xdr:to>
                <xdr:col>2</xdr:col>
                <xdr:colOff>-54</xdr:colOff>
                <xdr:row>5</xdr:row>
                <xdr:rowOff>4</xdr:rowOff>
              </xdr:to>
            </anchor>
          </commentPr>
        </mc:Choice>
        <mc:Fallback/>
      </mc:AlternateContent>
    </comment>
    <comment ref="J1" authorId="1">
      <text>
        <r>
          <rPr>
            <sz val="10"/>
            <rFont val="Arial"/>
            <family val="2"/>
          </rPr>
          <t xml:space="preserve">Syntax:
</t>
        </r>
        <r>
          <rPr>
            <sz val="9"/>
            <color rgb="FF000000"/>
            <rFont val="Tahoma"/>
            <family val="2"/>
            <charset val="1"/>
          </rPr>
          <t xml:space="preserve">'FlowPath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r>
      </text>
      <mc:AlternateContent>
        <mc:Choice Requires="v2">
          <commentPr autoFill="true" autoScale="false" colHidden="false" locked="false" rowHidden="false" textHAlign="justify" textVAlign="top">
            <anchor moveWithCells="false" sizeWithCells="false">
              <xdr:from>
                <xdr:col>9</xdr:col>
                <xdr:colOff>84</xdr:colOff>
                <xdr:row>1</xdr:row>
                <xdr:rowOff>16</xdr:rowOff>
              </xdr:from>
              <xdr:to>
                <xdr:col>12</xdr:col>
                <xdr:colOff>8</xdr:colOff>
                <xdr:row>10</xdr:row>
                <xdr:rowOff>20</xdr:rowOff>
              </xdr:to>
            </anchor>
          </commentPr>
        </mc:Choice>
        <mc:Fallback/>
      </mc:AlternateContent>
    </comment>
    <comment ref="L1" authorId="0">
      <text>
        <r>
          <rPr>
            <sz val="10"/>
            <rFont val="Arial"/>
            <family val="2"/>
          </rPr>
          <t xml:space="preserve">José Romeu Gonçalves:
</t>
        </r>
        <r>
          <rPr>
            <sz val="9"/>
            <color rgb="FF000000"/>
            <rFont val="Tahoma"/>
            <family val="2"/>
            <charset val="1"/>
          </rPr>
          <t xml:space="preserve">
A unit from units Lookup Table</t>
        </r>
      </text>
      <mc:AlternateContent>
        <mc:Choice Requires="v2">
          <commentPr autoFill="true" autoScale="false" colHidden="false" locked="false" rowHidden="false" textHAlign="justify" textVAlign="top">
            <anchor moveWithCells="false" sizeWithCells="false">
              <xdr:from>
                <xdr:col>5</xdr:col>
                <xdr:colOff>32</xdr:colOff>
                <xdr:row>4</xdr:row>
                <xdr:rowOff>0</xdr:rowOff>
              </xdr:from>
              <xdr:to>
                <xdr:col>7</xdr:col>
                <xdr:colOff>56</xdr:colOff>
                <xdr:row>6</xdr:row>
                <xdr:rowOff>12</xdr:rowOff>
              </xdr:to>
            </anchor>
          </commentPr>
        </mc:Choice>
        <mc:Fallback/>
      </mc:AlternateContent>
    </comment>
    <comment ref="N1" authorId="0">
      <text>
        <r>
          <rPr>
            <sz val="10"/>
            <rFont val="Arial"/>
            <family val="2"/>
          </rPr>
          <t xml:space="preserve">José Romeu Gonçalves:
</t>
        </r>
        <r>
          <rPr>
            <sz val="9"/>
            <color rgb="FF000000"/>
            <rFont val="Tahoma"/>
            <family val="2"/>
            <charset val="1"/>
          </rPr>
          <t xml:space="preserve">
A unit from units Lookup Table</t>
        </r>
      </text>
      <mc:AlternateContent>
        <mc:Choice Requires="v2">
          <commentPr autoFill="true" autoScale="false" colHidden="false" locked="false" rowHidden="false" textHAlign="justify" textVAlign="top">
            <anchor moveWithCells="false" sizeWithCells="false">
              <xdr:from>
                <xdr:col>7</xdr:col>
                <xdr:colOff>56</xdr:colOff>
                <xdr:row>2</xdr:row>
                <xdr:rowOff>8</xdr:rowOff>
              </xdr:from>
              <xdr:to>
                <xdr:col>9</xdr:col>
                <xdr:colOff>24</xdr:colOff>
                <xdr:row>5</xdr:row>
                <xdr:rowOff>4</xdr:rowOff>
              </xdr:to>
            </anchor>
          </commentPr>
        </mc:Choice>
        <mc:Fallback/>
      </mc:AlternateContent>
    </comment>
    <comment ref="O1" authorId="0">
      <text>
        <r>
          <rPr>
            <sz val="10"/>
            <rFont val="Arial"/>
            <family val="2"/>
          </rPr>
          <t xml:space="preserve">José Romeu Gonçalves:
</t>
        </r>
        <r>
          <rPr>
            <sz val="9"/>
            <color rgb="FF000000"/>
            <rFont val="Tahoma"/>
            <family val="2"/>
            <charset val="1"/>
          </rPr>
          <t xml:space="preserve">
an expired Material cannot be used as a consumable. The expiration date is checked in the following transactions: Assemble Material, Disassemble Material, Replace Assembled Material, Attach Material as Consumable, Combine Material, Compose Material and Prepare Material Transfer.</t>
        </r>
      </text>
      <mc:AlternateContent>
        <mc:Choice Requires="v2">
          <commentPr autoFill="true" autoScale="false" colHidden="false" locked="false" rowHidden="false" textHAlign="justify" textVAlign="top">
            <anchor moveWithCells="false" sizeWithCells="false">
              <xdr:from>
                <xdr:col>5</xdr:col>
                <xdr:colOff>56</xdr:colOff>
                <xdr:row>3</xdr:row>
                <xdr:rowOff>0</xdr:rowOff>
              </xdr:from>
              <xdr:to>
                <xdr:col>8</xdr:col>
                <xdr:colOff>52</xdr:colOff>
                <xdr:row>8</xdr:row>
                <xdr:rowOff>16</xdr:rowOff>
              </xdr:to>
            </anchor>
          </commentPr>
        </mc:Choice>
        <mc:Fallback/>
      </mc:AlternateContent>
    </comment>
    <comment ref="AA1" authorId="0">
      <text>
        <r>
          <rPr>
            <sz val="10"/>
            <rFont val="Arial"/>
            <family val="2"/>
          </rPr>
          <t xml:space="preserve">José Romeu Gonçalves:
</t>
        </r>
        <r>
          <rPr>
            <sz val="9"/>
            <color rgb="FF000000"/>
            <rFont val="Tahoma"/>
            <family val="2"/>
            <charset val="1"/>
          </rPr>
          <t xml:space="preserve">
A hot lot is always placed at the top of the dispatch lists and has the highest priority when used in scheduling.</t>
        </r>
      </text>
      <mc:AlternateContent>
        <mc:Choice Requires="v2">
          <commentPr autoFill="true" autoScale="false" colHidden="false" locked="false" rowHidden="false" textHAlign="justify" textVAlign="top">
            <anchor moveWithCells="false" sizeWithCells="false">
              <xdr:from>
                <xdr:col>17</xdr:col>
                <xdr:colOff>84</xdr:colOff>
                <xdr:row>3</xdr:row>
                <xdr:rowOff>0</xdr:rowOff>
              </xdr:from>
              <xdr:to>
                <xdr:col>18</xdr:col>
                <xdr:colOff>140</xdr:colOff>
                <xdr:row>6</xdr:row>
                <xdr:rowOff>8</xdr:rowOff>
              </xdr:to>
            </anchor>
          </commentPr>
        </mc:Choice>
        <mc:Fallback/>
      </mc:AlternateContent>
    </comment>
    <comment ref="AB1" authorId="0">
      <text>
        <r>
          <rPr>
            <sz val="10"/>
            <rFont val="Arial"/>
            <family val="2"/>
          </rPr>
          <t xml:space="preserve">José Romeu Gonçalves:
</t>
        </r>
        <r>
          <rPr>
            <sz val="9"/>
            <color rgb="FF000000"/>
            <rFont val="Tahoma"/>
            <family val="2"/>
            <charset val="1"/>
          </rPr>
          <t xml:space="preserve">
To exclude the Material from Scheduling</t>
        </r>
      </text>
      <mc:AlternateContent>
        <mc:Choice Requires="v2">
          <commentPr autoFill="true" autoScale="false" colHidden="false" locked="false" rowHidden="false" textHAlign="justify" textVAlign="top">
            <anchor moveWithCells="false" sizeWithCells="false">
              <xdr:from>
                <xdr:col>18</xdr:col>
                <xdr:colOff>68</xdr:colOff>
                <xdr:row>2</xdr:row>
                <xdr:rowOff>8</xdr:rowOff>
              </xdr:from>
              <xdr:to>
                <xdr:col>22</xdr:col>
                <xdr:colOff>36</xdr:colOff>
                <xdr:row>4</xdr:row>
                <xdr:rowOff>20</xdr:rowOff>
              </xdr:to>
            </anchor>
          </commentPr>
        </mc:Choice>
        <mc:Fallback/>
      </mc:AlternateContent>
    </comment>
    <comment ref="AJ1" authorId="0">
      <text>
        <r>
          <rPr>
            <sz val="10"/>
            <rFont val="Arial"/>
            <family val="2"/>
          </rPr>
          <t xml:space="preserve">José Romeu Gonçalves:
</t>
        </r>
        <r>
          <rPr>
            <sz val="9"/>
            <color rgb="FF000000"/>
            <rFont val="Tahoma"/>
            <family val="2"/>
            <charset val="1"/>
          </rPr>
          <t xml:space="preserve">
For WeighAndDispense Module</t>
        </r>
      </text>
      <mc:AlternateContent>
        <mc:Choice Requires="v2">
          <commentPr autoFill="true" autoScale="false" colHidden="false" locked="false" rowHidden="false" textHAlign="justify" textVAlign="top">
            <anchor moveWithCells="false" sizeWithCells="false">
              <xdr:from>
                <xdr:col>25</xdr:col>
                <xdr:colOff>72</xdr:colOff>
                <xdr:row>3</xdr:row>
                <xdr:rowOff>0</xdr:rowOff>
              </xdr:from>
              <xdr:to>
                <xdr:col>29</xdr:col>
                <xdr:colOff>48</xdr:colOff>
                <xdr:row>5</xdr:row>
                <xdr:rowOff>12</xdr:rowOff>
              </xdr:to>
            </anchor>
          </commentPr>
        </mc:Choice>
        <mc:Fallback/>
      </mc:AlternateContent>
    </comment>
    <comment ref="AK1" authorId="0">
      <text>
        <r>
          <rPr>
            <sz val="10"/>
            <rFont val="Arial"/>
            <family val="2"/>
          </rPr>
          <t xml:space="preserve">José Romeu Gonçalves:
</t>
        </r>
        <r>
          <rPr>
            <sz val="9"/>
            <color rgb="FF000000"/>
            <rFont val="Tahoma"/>
            <family val="2"/>
            <charset val="1"/>
          </rPr>
          <t xml:space="preserve">
For WeighAndDispense Module</t>
        </r>
      </text>
      <mc:AlternateContent>
        <mc:Choice Requires="v2">
          <commentPr autoFill="true" autoScale="false" colHidden="false" locked="false" rowHidden="false" textHAlign="justify" textVAlign="top">
            <anchor moveWithCells="false" sizeWithCells="false">
              <xdr:from>
                <xdr:col>25</xdr:col>
                <xdr:colOff>72</xdr:colOff>
                <xdr:row>2</xdr:row>
                <xdr:rowOff>12</xdr:rowOff>
              </xdr:from>
              <xdr:to>
                <xdr:col>29</xdr:col>
                <xdr:colOff>48</xdr:colOff>
                <xdr:row>5</xdr:row>
                <xdr:rowOff>4</xdr:rowOff>
              </xdr:to>
            </anchor>
          </commentPr>
        </mc:Choice>
        <mc:Fallback/>
      </mc:AlternateContent>
    </comment>
  </commentList>
</comments>
</file>

<file path=xl/sharedStrings.xml><?xml version="1.0" encoding="utf-8"?>
<sst xmlns="http://schemas.openxmlformats.org/spreadsheetml/2006/main" count="3812" uniqueCount="2275">
  <si>
    <t xml:space="preserve">Tab Name</t>
  </si>
  <si>
    <t xml:space="preserve">Object Type</t>
  </si>
  <si>
    <t xml:space="preserve">Description</t>
  </si>
  <si>
    <t xml:space="preserve">Execution Order</t>
  </si>
  <si>
    <t xml:space="preserve">Index</t>
  </si>
  <si>
    <t xml:space="preserve">Have the description for each tab in the excel</t>
  </si>
  <si>
    <t xml:space="preserve">Config</t>
  </si>
  <si>
    <t xml:space="preserve">Revision Configurations</t>
  </si>
  <si>
    <t xml:space="preserve">Formats</t>
  </si>
  <si>
    <t xml:space="preserve">Have the specific cell content format for specific tabs and columns</t>
  </si>
  <si>
    <t xml:space="preserve">Assumptions</t>
  </si>
  <si>
    <t xml:space="preserve">Have assumptions for each tab</t>
  </si>
  <si>
    <t xml:space="preserve">Entities</t>
  </si>
  <si>
    <t xml:space="preserve">WorksheetNameMapping</t>
  </si>
  <si>
    <t xml:space="preserve">Used to workaround the 31-character limit of the excel worksheet name. 
Define your tab name using the tag &lt;LOOKUP&gt; and append a shortname for the object (e.g, &lt;LOOKUP&gt;MySmartTable). Then, in this tab,  map it to the tab name you would define otherwise (e.g, MySmartTable/&lt;ST&gt;TheRealNameForMySmartTable).</t>
  </si>
  <si>
    <t xml:space="preserve">Enums</t>
  </si>
  <si>
    <t xml:space="preserve">&lt;SM&gt;Config</t>
  </si>
  <si>
    <t xml:space="preserve">&lt;SM&gt;Role</t>
  </si>
  <si>
    <t xml:space="preserve">&lt;SM&gt;Features</t>
  </si>
  <si>
    <t xml:space="preserve">&lt;SM&gt;DataGroup</t>
  </si>
  <si>
    <t xml:space="preserve">&lt;SM&gt;User</t>
  </si>
  <si>
    <t xml:space="preserve">&lt;SM&gt;ReportFolder</t>
  </si>
  <si>
    <t xml:space="preserve">&lt;SM&gt;LookupTableValues</t>
  </si>
  <si>
    <t xml:space="preserve">&lt;SM&gt;LocalizedMessageKey</t>
  </si>
  <si>
    <t xml:space="preserve">&lt;SM&gt;EntityType</t>
  </si>
  <si>
    <t xml:space="preserve">&lt;SM&gt;EntityTypeProperty</t>
  </si>
  <si>
    <t xml:space="preserve">&lt;SM&gt;StateModel</t>
  </si>
  <si>
    <t xml:space="preserve">StateModelStates</t>
  </si>
  <si>
    <t xml:space="preserve">StateModelTransitions</t>
  </si>
  <si>
    <t xml:space="preserve">&lt;SM&gt;NameGenerator</t>
  </si>
  <si>
    <t xml:space="preserve">&lt;SM&gt;DEEAction</t>
  </si>
  <si>
    <t xml:space="preserve">DEEActionOrder</t>
  </si>
  <si>
    <t xml:space="preserve">&lt;GT&gt;ScopeClassifications</t>
  </si>
  <si>
    <t xml:space="preserve">&lt;DM&gt;Rule</t>
  </si>
  <si>
    <t xml:space="preserve">&lt;GT&gt;ChangeSetUrgency</t>
  </si>
  <si>
    <t xml:space="preserve">&lt;DM&gt;ChangeSet</t>
  </si>
  <si>
    <t xml:space="preserve">&lt;SM&gt;ImportObject</t>
  </si>
  <si>
    <t xml:space="preserve">&lt;DM&gt;SortRuleSet</t>
  </si>
  <si>
    <t xml:space="preserve">&lt;DM&gt;Folder</t>
  </si>
  <si>
    <t xml:space="preserve">&lt;DM&gt;Document</t>
  </si>
  <si>
    <t xml:space="preserve">DocumentApplicableRole</t>
  </si>
  <si>
    <t xml:space="preserve">&lt;GT&gt;QualificationProficiency</t>
  </si>
  <si>
    <t xml:space="preserve">&lt;DM&gt;Qualification</t>
  </si>
  <si>
    <t xml:space="preserve">&lt;DM&gt;Certification</t>
  </si>
  <si>
    <t xml:space="preserve">&lt;DM&gt;CertificationRequiredQualification</t>
  </si>
  <si>
    <t xml:space="preserve">&lt;DM&gt;Calendar</t>
  </si>
  <si>
    <t xml:space="preserve">&lt;DM&gt;Team</t>
  </si>
  <si>
    <t xml:space="preserve">&lt;DM&gt;ShiftDefinition</t>
  </si>
  <si>
    <t xml:space="preserve">ShiftDefinitionShift</t>
  </si>
  <si>
    <t xml:space="preserve">&lt;UP&gt;TeamShiftAssociation</t>
  </si>
  <si>
    <t xml:space="preserve">&lt;DM&gt;CalendarDay</t>
  </si>
  <si>
    <t xml:space="preserve">&lt;DM&gt;Schedule</t>
  </si>
  <si>
    <t xml:space="preserve">ScheduleOptimizationCriteria</t>
  </si>
  <si>
    <t xml:space="preserve">ScheduleSortRule</t>
  </si>
  <si>
    <t xml:space="preserve">&lt;DM&gt;ScheduleScenario</t>
  </si>
  <si>
    <t xml:space="preserve">&lt;DM&gt;Enterprise</t>
  </si>
  <si>
    <t xml:space="preserve">&lt;DM&gt;Site</t>
  </si>
  <si>
    <t xml:space="preserve">&lt;DM&gt;Facility</t>
  </si>
  <si>
    <t xml:space="preserve">&lt;DM&gt;Service</t>
  </si>
  <si>
    <t xml:space="preserve">&lt;DM&gt;CompatibleService</t>
  </si>
  <si>
    <t xml:space="preserve">&lt;GT&gt;ShiftLogbookEntrySeverity</t>
  </si>
  <si>
    <t xml:space="preserve">&lt;DM&gt;Area</t>
  </si>
  <si>
    <t xml:space="preserve">&lt;DM&gt;AreaSupplyArea</t>
  </si>
  <si>
    <t xml:space="preserve">&lt;DM&gt;AreaTransferRequirementType</t>
  </si>
  <si>
    <t xml:space="preserve">&lt;DM&gt;Employee</t>
  </si>
  <si>
    <t xml:space="preserve">&lt;DM&gt;EmployeeDelegate</t>
  </si>
  <si>
    <t xml:space="preserve">&lt;DM&gt;EmployeeQualification</t>
  </si>
  <si>
    <t xml:space="preserve">&lt;DM&gt;EmployeeCertification</t>
  </si>
  <si>
    <t xml:space="preserve">&lt;DM&gt;SamplingPlan</t>
  </si>
  <si>
    <t xml:space="preserve">SPContextInformation</t>
  </si>
  <si>
    <t xml:space="preserve">&lt;DM&gt;SamplingPlanInstance</t>
  </si>
  <si>
    <t xml:space="preserve">&lt;DM&gt;SamplingPattern</t>
  </si>
  <si>
    <t xml:space="preserve">&lt;DM&gt;BusinessPartner</t>
  </si>
  <si>
    <t xml:space="preserve">&lt;DM&gt;Reason</t>
  </si>
  <si>
    <t xml:space="preserve">&lt;DM&gt;ReasonRepairAction</t>
  </si>
  <si>
    <t xml:space="preserve">&lt;GT&gt;AQLAcceptanceQualityLimit</t>
  </si>
  <si>
    <t xml:space="preserve">&lt;GT&gt;AQLSamplingCode</t>
  </si>
  <si>
    <t xml:space="preserve">&lt;GT&gt;InspectionSeverity</t>
  </si>
  <si>
    <t xml:space="preserve">&lt;DM&gt;Step</t>
  </si>
  <si>
    <t xml:space="preserve">StepReasons</t>
  </si>
  <si>
    <t xml:space="preserve">StepSamplingPlan</t>
  </si>
  <si>
    <t xml:space="preserve">StepLogicalName</t>
  </si>
  <si>
    <t xml:space="preserve">StepContextInformation</t>
  </si>
  <si>
    <t xml:space="preserve">StepSwitchingRule</t>
  </si>
  <si>
    <t xml:space="preserve">StepInspectionSeverityInstance</t>
  </si>
  <si>
    <t xml:space="preserve">&lt;DM&gt;ScheduleFeedStep</t>
  </si>
  <si>
    <t xml:space="preserve">&lt;DM&gt;StepReason</t>
  </si>
  <si>
    <t xml:space="preserve">&lt;DM&gt;Flow</t>
  </si>
  <si>
    <t xml:space="preserve">FlowStructures</t>
  </si>
  <si>
    <t xml:space="preserve">FlowLogicalName</t>
  </si>
  <si>
    <t xml:space="preserve">&lt;DM&gt;Parameter</t>
  </si>
  <si>
    <t xml:space="preserve">&lt;DM&gt;ProductGroup</t>
  </si>
  <si>
    <t xml:space="preserve">ProductGroupParameters</t>
  </si>
  <si>
    <t xml:space="preserve">&lt;GT&gt;MoistureSensitivityLevel</t>
  </si>
  <si>
    <t xml:space="preserve">&lt;DM&gt;Product</t>
  </si>
  <si>
    <t xml:space="preserve">ProductParameters</t>
  </si>
  <si>
    <t xml:space="preserve">ProductManufacturer</t>
  </si>
  <si>
    <t xml:space="preserve">&lt;DM&gt;ProductBinning</t>
  </si>
  <si>
    <t xml:space="preserve">&lt;DM&gt;Plan</t>
  </si>
  <si>
    <t xml:space="preserve">PlanItems</t>
  </si>
  <si>
    <t xml:space="preserve">PlanSteps</t>
  </si>
  <si>
    <t xml:space="preserve">PlanMaterialTypes</t>
  </si>
  <si>
    <t xml:space="preserve">PlanScenarios</t>
  </si>
  <si>
    <t xml:space="preserve">&lt;DM&gt;SetupMatrix</t>
  </si>
  <si>
    <t xml:space="preserve">SetupMatrixTransitions</t>
  </si>
  <si>
    <t xml:space="preserve">&lt;DM&gt;Resource</t>
  </si>
  <si>
    <t xml:space="preserve">StorageBin</t>
  </si>
  <si>
    <t xml:space="preserve">ResourceInventory</t>
  </si>
  <si>
    <t xml:space="preserve">ResourceMeasurementCapability</t>
  </si>
  <si>
    <t xml:space="preserve">ResourceInstruments</t>
  </si>
  <si>
    <t xml:space="preserve">ResourceLocation</t>
  </si>
  <si>
    <t xml:space="preserve">&lt;DM&gt;ResourceDurable</t>
  </si>
  <si>
    <t xml:space="preserve">&lt;DM&gt;SubResource</t>
  </si>
  <si>
    <t xml:space="preserve">&lt;DM&gt;ResourceService</t>
  </si>
  <si>
    <t xml:space="preserve">&lt;DM&gt;ResourcePersonnelRequirements</t>
  </si>
  <si>
    <t xml:space="preserve">&lt;GT&gt;CalendarDayType</t>
  </si>
  <si>
    <t xml:space="preserve">&lt;DM&gt;ShiftPlan</t>
  </si>
  <si>
    <t xml:space="preserve">ShiftPlanWorkgroups</t>
  </si>
  <si>
    <t xml:space="preserve">&lt;DM&gt;WorkgroupStep</t>
  </si>
  <si>
    <t xml:space="preserve">&lt;UP&gt;EmployeeShiftDetails</t>
  </si>
  <si>
    <t xml:space="preserve">&lt;DM&gt;KPI</t>
  </si>
  <si>
    <t xml:space="preserve">&lt;DM&gt;KPITimeFrame</t>
  </si>
  <si>
    <t xml:space="preserve">&lt;DM&gt;DataCollection</t>
  </si>
  <si>
    <t xml:space="preserve">DataCollectionParameters</t>
  </si>
  <si>
    <t xml:space="preserve">&lt;DM&gt;DataCollectionLimitSets</t>
  </si>
  <si>
    <t xml:space="preserve">DataCollectionSampleLimits</t>
  </si>
  <si>
    <t xml:space="preserve">&lt;GT&gt;ChartRuleScope</t>
  </si>
  <si>
    <t xml:space="preserve">&lt;DM&gt;Chart</t>
  </si>
  <si>
    <t xml:space="preserve">&lt;DM&gt;LogicalChart</t>
  </si>
  <si>
    <t xml:space="preserve">&lt;DM&gt;BOM</t>
  </si>
  <si>
    <t xml:space="preserve">BOMProducts</t>
  </si>
  <si>
    <t xml:space="preserve">&lt;DM&gt;Checklist</t>
  </si>
  <si>
    <t xml:space="preserve">ChecklistItems</t>
  </si>
  <si>
    <t xml:space="preserve">ChecklistItemParameters</t>
  </si>
  <si>
    <t xml:space="preserve">ChecklistItemDataColParameters</t>
  </si>
  <si>
    <t xml:space="preserve">ChecklistItemSignature</t>
  </si>
  <si>
    <t xml:space="preserve">&lt;DM&gt;Protocol</t>
  </si>
  <si>
    <t xml:space="preserve">ProtocolStates</t>
  </si>
  <si>
    <t xml:space="preserve">&lt;DM&gt;InspectionPlan</t>
  </si>
  <si>
    <t xml:space="preserve">InspectionPlanSteps</t>
  </si>
  <si>
    <t xml:space="preserve">InspectionPlanConfiguration</t>
  </si>
  <si>
    <t xml:space="preserve">InspectionPlanConfigurationStep</t>
  </si>
  <si>
    <t xml:space="preserve">&lt;DM&gt;Recipe</t>
  </si>
  <si>
    <t xml:space="preserve">RecipeParameters</t>
  </si>
  <si>
    <t xml:space="preserve">SubRecipes</t>
  </si>
  <si>
    <t xml:space="preserve">SubRecipeParameters</t>
  </si>
  <si>
    <t xml:space="preserve">&lt;DM&gt;MaintenancePlan</t>
  </si>
  <si>
    <t xml:space="preserve">MaintenancePlanActivities</t>
  </si>
  <si>
    <t xml:space="preserve">MaintenancePlanActivityCharts</t>
  </si>
  <si>
    <t xml:space="preserve">MaintenanceActivityDocument</t>
  </si>
  <si>
    <t xml:space="preserve">IncludedActivities</t>
  </si>
  <si>
    <t xml:space="preserve">&lt;DM&gt;MaintenanceActivityPersonnelRequirement</t>
  </si>
  <si>
    <t xml:space="preserve">&lt;DM&gt;MaintenancePlanInstance</t>
  </si>
  <si>
    <t xml:space="preserve">MaintenancePlanInstanceActivity</t>
  </si>
  <si>
    <t xml:space="preserve">&lt;UP&gt;MaintenancePlanCounters</t>
  </si>
  <si>
    <t xml:space="preserve">&lt;GT&gt;GenericTable</t>
  </si>
  <si>
    <t xml:space="preserve">GenericTableProperties</t>
  </si>
  <si>
    <t xml:space="preserve">&lt;GT&gt;GUIElementDefaultValue</t>
  </si>
  <si>
    <t xml:space="preserve">&lt;GT&gt;MaterialFormRelation</t>
  </si>
  <si>
    <t xml:space="preserve">&lt;GT&gt;MaterialTransferUrgency</t>
  </si>
  <si>
    <t xml:space="preserve">&lt;GT&gt;TransferOrderPriority</t>
  </si>
  <si>
    <t xml:space="preserve">&lt;GT&gt;TransferRequirementPriority</t>
  </si>
  <si>
    <t xml:space="preserve">&lt;GT&gt;ProductUnitConversionFactors</t>
  </si>
  <si>
    <t xml:space="preserve">&lt;GT&gt;UnitConversionFactors</t>
  </si>
  <si>
    <t xml:space="preserve">&lt;ST&gt;SmartTable</t>
  </si>
  <si>
    <t xml:space="preserve">SmartTableProperties</t>
  </si>
  <si>
    <t xml:space="preserve">SmartTablePrecedenceKeys</t>
  </si>
  <si>
    <t xml:space="preserve">&lt;GT&gt;ContextResolution</t>
  </si>
  <si>
    <t xml:space="preserve">&lt;ST&gt;ServiceContext</t>
  </si>
  <si>
    <t xml:space="preserve">&lt;ST&gt;ApplicationSettingsContext</t>
  </si>
  <si>
    <t xml:space="preserve">&lt;ST&gt;AreaPrintableDocumentContext</t>
  </si>
  <si>
    <t xml:space="preserve">&lt;ST&gt;BOMContext</t>
  </si>
  <si>
    <t xml:space="preserve">&lt;ST&gt;ChangeSetApprovalContext</t>
  </si>
  <si>
    <t xml:space="preserve">&lt;ST&gt;IntegrationHandlerResolution</t>
  </si>
  <si>
    <t xml:space="preserve">&lt;ST&gt;LayoutPersonalizationContext</t>
  </si>
  <si>
    <t xml:space="preserve">&lt;ST&gt;MapDefinitionContext</t>
  </si>
  <si>
    <t xml:space="preserve">&lt;ST&gt;MaterialCheckListContext</t>
  </si>
  <si>
    <t xml:space="preserve">&lt;ST&gt;MaterialDataCollectionContext</t>
  </si>
  <si>
    <t xml:space="preserve">&lt;ST&gt;MaterialDocumentContext</t>
  </si>
  <si>
    <t xml:space="preserve">&lt;ST&gt;MaterialDurablesContext</t>
  </si>
  <si>
    <t xml:space="preserve">&lt;ST&gt;MaterialPrintableDocumentContext</t>
  </si>
  <si>
    <t xml:space="preserve">&lt;ST&gt;NameGeneratorContext</t>
  </si>
  <si>
    <t xml:space="preserve">&lt;ST&gt;PrinterTypePrintersContext</t>
  </si>
  <si>
    <t xml:space="preserve">&lt;ST&gt;ResourceRunningMode</t>
  </si>
  <si>
    <t xml:space="preserve">&lt;ST&gt;RecipeContext</t>
  </si>
  <si>
    <t xml:space="preserve">&lt;ST&gt;RecipeParameterOverrideContext</t>
  </si>
  <si>
    <t xml:space="preserve">&lt;ST&gt;ResourceCapacity</t>
  </si>
  <si>
    <t xml:space="preserve">&lt;ST&gt;ResourceChartContext</t>
  </si>
  <si>
    <t xml:space="preserve">&lt;ST&gt;ResourceChecklistContext</t>
  </si>
  <si>
    <t xml:space="preserve">&lt;ST&gt;ResourceDataCollectionContext</t>
  </si>
  <si>
    <t xml:space="preserve">&lt;ST&gt;ResourceDocumentContext</t>
  </si>
  <si>
    <t xml:space="preserve">&lt;ST&gt;ResourceIdealCycleTime</t>
  </si>
  <si>
    <t xml:space="preserve">&lt;ST&gt;ResourceProcessTime</t>
  </si>
  <si>
    <t xml:space="preserve">&lt;ST&gt;ResourceReplenishmentContext</t>
  </si>
  <si>
    <t xml:space="preserve">&lt;ST&gt;SchedulingTransferMaterialSize</t>
  </si>
  <si>
    <t xml:space="preserve">&lt;ST&gt;StepCertificationRequirementsContext</t>
  </si>
  <si>
    <t xml:space="preserve">&lt;ST&gt;StepChartContext</t>
  </si>
  <si>
    <t xml:space="preserve">&lt;ST&gt;StepLineFlowContext</t>
  </si>
  <si>
    <t xml:space="preserve">&lt;ST&gt;StepProductYieldAndCycleTimeContext</t>
  </si>
  <si>
    <t xml:space="preserve">&lt;ST&gt;StepSamplingPatternContext</t>
  </si>
  <si>
    <t xml:space="preserve">&lt;ST&gt;StepInspectionPlanContext</t>
  </si>
  <si>
    <t xml:space="preserve">&lt;ST&gt;StepSplitTrackOutContext</t>
  </si>
  <si>
    <t xml:space="preserve">&lt;ST&gt;TimeConstraintsContext</t>
  </si>
  <si>
    <t xml:space="preserve">&lt;ST&gt;UIPageContext</t>
  </si>
  <si>
    <t xml:space="preserve">&lt;ST&gt;FactoryAutomationControllerVersionOverrideContext</t>
  </si>
  <si>
    <t xml:space="preserve">&lt;DM&gt;ProductionOrder</t>
  </si>
  <si>
    <t xml:space="preserve">ProductionOrderStep</t>
  </si>
  <si>
    <t xml:space="preserve">&lt;GT&gt;ContainerTypeRelation</t>
  </si>
  <si>
    <t xml:space="preserve">&lt;GT&gt;ContainerResourceRelation</t>
  </si>
  <si>
    <t xml:space="preserve">&lt;DM&gt;Container</t>
  </si>
  <si>
    <t xml:space="preserve">&lt;DM&gt;Material</t>
  </si>
  <si>
    <t xml:space="preserve">&lt;DM&gt;SendAheadRun</t>
  </si>
  <si>
    <t xml:space="preserve">SendAheadRunMaterials</t>
  </si>
  <si>
    <t xml:space="preserve">&lt;UP&gt;StepFutureActions</t>
  </si>
  <si>
    <t xml:space="preserve">&lt;DM&gt;FutureAction</t>
  </si>
  <si>
    <t xml:space="preserve">&lt;DM&gt;ExperimentDefinition</t>
  </si>
  <si>
    <t xml:space="preserve">ExperimentDefinitionSteps</t>
  </si>
  <si>
    <t xml:space="preserve">&lt;GT&gt;NotificationSeverity</t>
  </si>
  <si>
    <t xml:space="preserve">&lt;DM&gt;Notification</t>
  </si>
  <si>
    <t xml:space="preserve">&lt;DM&gt;MapDefinition</t>
  </si>
  <si>
    <t xml:space="preserve">MapDefinitionLayers</t>
  </si>
  <si>
    <t xml:space="preserve">&lt;DM&gt;Map</t>
  </si>
  <si>
    <t xml:space="preserve">&lt;DM&gt;AutomationManager</t>
  </si>
  <si>
    <t xml:space="preserve">&lt;DM&gt;AutomationProtocol</t>
  </si>
  <si>
    <t xml:space="preserve">AutomationProtocolParameter</t>
  </si>
  <si>
    <t xml:space="preserve">&lt;DM&gt;AutomationDriverDefinition</t>
  </si>
  <si>
    <t xml:space="preserve">AutomationProperty</t>
  </si>
  <si>
    <t xml:space="preserve">AutomationEvent</t>
  </si>
  <si>
    <t xml:space="preserve">AutomationEventProperties</t>
  </si>
  <si>
    <t xml:space="preserve">AutomationCommand</t>
  </si>
  <si>
    <t xml:space="preserve">AutomationCommandParameter</t>
  </si>
  <si>
    <t xml:space="preserve">&lt;DM&gt;AutomationController</t>
  </si>
  <si>
    <t xml:space="preserve">AutomationControllerDriverDef</t>
  </si>
  <si>
    <t xml:space="preserve">AutomationControllerIoTEventDef</t>
  </si>
  <si>
    <t xml:space="preserve">AutomationControllerWorkflow</t>
  </si>
  <si>
    <t xml:space="preserve">&lt;DM&gt;AutomationInstance</t>
  </si>
  <si>
    <t xml:space="preserve">&lt;DM&gt;IoTEventDefinition</t>
  </si>
  <si>
    <t xml:space="preserve">IoTSchemaProperties</t>
  </si>
  <si>
    <t xml:space="preserve">Revision format</t>
  </si>
  <si>
    <t xml:space="preserve">Use Revisions</t>
  </si>
  <si>
    <t xml:space="preserve">Default create</t>
  </si>
  <si>
    <t xml:space="preserve">[&lt;revision&gt;]</t>
  </si>
  <si>
    <t xml:space="preserve">Optional</t>
  </si>
  <si>
    <t xml:space="preserve">Create Version</t>
  </si>
  <si>
    <t xml:space="preserve">Sheet</t>
  </si>
  <si>
    <t xml:space="preserve">Column</t>
  </si>
  <si>
    <t xml:space="preserve">Format Sample</t>
  </si>
  <si>
    <t xml:space="preserve">All Objects</t>
  </si>
  <si>
    <t xml:space="preserve">MainStateModel</t>
  </si>
  <si>
    <t xml:space="preserve">SEMI E10 &gt; Standby</t>
  </si>
  <si>
    <t xml:space="preserve">State Model Name , "&gt;", State Name
if the "&gt;" is not provided then the value will be the StateModel Name, and the object will be setted in the default state for the state model</t>
  </si>
  <si>
    <t xml:space="preserve">OtherStateModels</t>
  </si>
  <si>
    <t xml:space="preserve">SEMI E10 &gt; Standby; SEMI E10 &gt; Standby; SEMI E10 &gt; Standby</t>
  </si>
  <si>
    <t xml:space="preserve">Each item is delimited by a semi-colon ';'
Format of each item is:
State Model Name , "&gt;", State Name
if the "&gt;" is not provided then the value will be the StateModel Name, and the object will be setted in the default state for the state model</t>
  </si>
  <si>
    <t xml:space="preserve">Attributes</t>
  </si>
  <si>
    <t xml:space="preserve">Name[Basic] ScalarType[VarChar] Value[Up];
Name[Scheduled] ScalarType[VarChar] Value[Scheduled Up]</t>
  </si>
  <si>
    <t xml:space="preserve">Each item is delimited by a semi-colon ';'
Format of each item is:
Name[AttributeName] ScalarType[ScalarTypeName] Value[AttributeValue]
If Attribute is Array Values will be separated by comma (',')</t>
  </si>
  <si>
    <t xml:space="preserve">Forbiden Operations</t>
  </si>
  <si>
    <t xml:space="preserve">Save;Terminate</t>
  </si>
  <si>
    <t xml:space="preserve">Each item is delimited by a semi-colon ';'
Each item must be the name of one Operation of the State Model Entity Type</t>
  </si>
  <si>
    <t xml:space="preserve">Allowed Operations</t>
  </si>
  <si>
    <t xml:space="preserve">NonWorkingTime</t>
  </si>
  <si>
    <t xml:space="preserve">Name[Lunch] Start[12:00] End[13:00]</t>
  </si>
  <si>
    <t xml:space="preserve">Each non working time is delimited by a semi-colon ';'
Each item is described by tokens according to the sample on the left.</t>
  </si>
  <si>
    <t xml:space="preserve">SortRuleSets</t>
  </si>
  <si>
    <t xml:space="preserve">Rules</t>
  </si>
  <si>
    <t xml:space="preserve">Name[ResourceQueueSize] Direction[Ascending]</t>
  </si>
  <si>
    <t xml:space="preserve">Each rule is delimited by a semi-colon ';', the sequence is the order in which it appears, starting with 1 and the format is Name[SortRuleName] Direction[Ascending] (Direction can be 'Ascending' or 'Descending')</t>
  </si>
  <si>
    <t xml:space="preserve">Reworks</t>
  </si>
  <si>
    <t xml:space="preserve">GotoFlowPath[Mold Rework:1/Remove Mold:1] ReturnStep[Packaging:5] Reason[Mold Damage]</t>
  </si>
  <si>
    <t xml:space="preserve">Each item is delimited by a semi-colon ';'
Format of each item is like:
GotoFlowPath[TargetFlowPath] ReturnStep[ReturnStep] Reason[ReworkReason]
where the ReturnStep must include the information about the Correlation Id ( for example "Step:2" )</t>
  </si>
  <si>
    <t xml:space="preserve">Products</t>
  </si>
  <si>
    <t xml:space="preserve">Unit Conversion Factors</t>
  </si>
  <si>
    <t xml:space="preserve">FromUnit[Wafers] ToUnit[Dies] Factor[100]</t>
  </si>
  <si>
    <t xml:space="preserve">Each item is delimited by a semi-colon ';'
Format of each item is like:
FromUnit[unitA] ToUnit[unitB] Factor[factor]
Where 
 - Units must exist in lookupTable Units
 - factor can have decimal places</t>
  </si>
  <si>
    <t xml:space="preserve">Sub Products</t>
  </si>
  <si>
    <t xml:space="preserve">TargetProduct[WAFCOMP1] Facility[Null] Step[Wafer Saw] ProductChangeDescription[Standard] Type[Standard] IsChangeAutomatic[Yes]</t>
  </si>
  <si>
    <t xml:space="preserve">Each item is delimited by a semi-colon ';'
Format of each item is like:
TargetProduct[ProductName] Facility[Null] Step[StepName] ProductChangeDescription[Standard] Type[Standard] IsChangeAutomatic[Yes]</t>
  </si>
  <si>
    <t xml:space="preserve">Binning Tree</t>
  </si>
  <si>
    <t xml:space="preserve">TargetProduct[PRODUCTA] BinGroup[Null] BinNumber[1] BinType[MainProduct] Reason[Null] Step[Null]</t>
  </si>
  <si>
    <t xml:space="preserve">Each item is delimited by a semi-colon ';'
Format of each item is like:
TargetProduct[PRODUCTA] BinGroup[Null] BinNumber[1] BinType[MainProduct] Reason[Null] Step[Null]
Where BinType must be one of the following
 - MainProduct
 - SubProduct
 - Loss
Where Reason must be the name of one valid Reason</t>
  </si>
  <si>
    <t xml:space="preserve">Protocols</t>
  </si>
  <si>
    <t xml:space="preserve">Parameters</t>
  </si>
  <si>
    <t xml:space="preserve">Name[MyString] DataType[String] DefaultValue[Null];
Name[MyLong] DataType[Long] DefaultValue[0];
Name[MyDecimal] DataType[Decimal] DefaultValue[0]</t>
  </si>
  <si>
    <t xml:space="preserve">Each item is delimited by a semi-colon ';'
Format of each item is like:
Name[ParameterName] DataType[String] DefaultValue[Null]
DataType=Long or String or Decimal or Boolean or DateTime
DefaultValue= Value or Null</t>
  </si>
  <si>
    <t xml:space="preserve">Name[MyString] IsOptional[No] IsReadOnly[No] SourceType[FreeText] Source[Null];
Name[MyLong] IsOptional[Yes] IsReadOnly[No] SourceType[FreeText] Source[Null]</t>
  </si>
  <si>
    <t xml:space="preserve">Each item is delimited by a semi-colon ';'
Format of each item is like:
Name[ParameterName] IsOptional[No] IsReadOnly[No] SourceType[] Source[Null]
SourceType=FreeText, LookupTable or Query</t>
  </si>
  <si>
    <t xml:space="preserve">Data Collection Limit Sets</t>
  </si>
  <si>
    <t xml:space="preserve">Parameter Limits</t>
  </si>
  <si>
    <t xml:space="preserve">Parameter[Scratch Count] LimitType[Absolute] LowerErrorLimit[0] 
LowerWarningLimit[0] Target[0] UpperErrorLimit[105] UpperWarningLimit[50]</t>
  </si>
  <si>
    <t xml:space="preserve">Each parameter is delimited by a semi-colon (';')
When the text is 'Null' it means that there is no value
The decimal separator can be either '.' or ','
Format is:
Parameter[ParamName] LimitType[Absolute] LowerErrorLimit[0] LowerWarningLimit[1] Target[0] UpperWarningLimit[49] UpperErrorLimit[50]
LimitType can be 'Absolute' or 'Relative'</t>
  </si>
  <si>
    <t xml:space="preserve">Substitutes</t>
  </si>
  <si>
    <t xml:space="preserve">SourceProduct[UMG] Step[Crystallization] Quantity[0,8]</t>
  </si>
  <si>
    <t xml:space="preserve">Each item is delimited by a semi-colon ';'
Format of each item is like:
SourceProduct[ProductName] Step[StepName] Quantity[1]</t>
  </si>
  <si>
    <t xml:space="preserve">Charts</t>
  </si>
  <si>
    <t xml:space="preserve">Rule[UpperSpecSpcViolationRule] Protocol[PDCA]</t>
  </si>
  <si>
    <t xml:space="preserve">Each item is delimeted by a semi-colon ';'
format of each item is like:
Rule[RuleName] Protocol[ProtocolName]
Protocol can be null</t>
  </si>
  <si>
    <t xml:space="preserve">Contexts</t>
  </si>
  <si>
    <t xml:space="preserve">KeyOrder[1] Name[Resource] Description[Resource] Type[Object] Source[Resource]</t>
  </si>
  <si>
    <t xml:space="preserve">Each item is delimeted by a semi-colon ';'
format of each item is like:
KeyOrder[1] Name[Resource] Description[Resource] Type[Object] Source[Resource]
Where 
 - Type=Object, FreeText or LookupTable
 - KeyOrder (or zero if non-key)</t>
  </si>
  <si>
    <t xml:space="preserve">ParameterMapping</t>
  </si>
  <si>
    <t xml:space="preserve">Parameter1=Expression1;Parameter2=Expression2</t>
  </si>
  <si>
    <r>
      <rPr>
        <sz val="11"/>
        <color rgb="FF000000"/>
        <rFont val="Calibri"/>
        <family val="2"/>
        <charset val="1"/>
      </rPr>
      <t xml:space="preserve">Each item is delimited by a semi-colon ';'
Format of each item is:
</t>
    </r>
    <r>
      <rPr>
        <i val="true"/>
        <sz val="11"/>
        <color rgb="FF000000"/>
        <rFont val="Calibri"/>
        <family val="2"/>
        <charset val="1"/>
      </rPr>
      <t xml:space="preserve">ParameterName, equals ('='), Expression
</t>
    </r>
    <r>
      <rPr>
        <sz val="11"/>
        <color rgb="FF000000"/>
        <rFont val="Calibri"/>
        <family val="2"/>
        <charset val="1"/>
      </rPr>
      <t xml:space="preserve">Where 
 - ParameterName should be the name of a valid Parameter in the subrecipe.</t>
    </r>
  </si>
  <si>
    <t xml:space="preserve">Assumption</t>
  </si>
  <si>
    <t xml:space="preserve"> - Name Field is Mandatory
 - All Excel columns must match the Object properties (if defined)
 - Column "MainStateModel" can set the Main State Model to the object
 - Column "OtherStateModel" can set other State Models to the Object
 - Column "DataGroup" can set DataGroup to the Object
</t>
  </si>
  <si>
    <t xml:space="preserve">FlowPath
It represents the position in one Flow, for example
FlowA:1/FlowB:2/FlowC:1/StepA:1
Each Flow Part in the FlowPath is delimited by '/'
Each Flow Part is splited in two by ':'
 1) the first part is the name of the Object (Flow Name, or Step Name if is the last flow part in the FlowPath)
 2) the second part is the CorrelationId, or it can be the position on the parent flow</t>
  </si>
  <si>
    <t xml:space="preserve">Rule Type will be UserDefined</t>
  </si>
  <si>
    <t xml:space="preserve">Facilities</t>
  </si>
  <si>
    <t xml:space="preserve">If Site is passed then the Facility will have IsRemote set to true, false otherwise</t>
  </si>
  <si>
    <t xml:space="preserve">Generic Tables</t>
  </si>
  <si>
    <t xml:space="preserve">If you want the first field to be empty, type "NULL" without the quotes.</t>
  </si>
  <si>
    <t xml:space="preserve">Smart Tables</t>
  </si>
  <si>
    <t xml:space="preserve">WorksheetName</t>
  </si>
  <si>
    <t xml:space="preserve">Value</t>
  </si>
  <si>
    <t xml:space="preserve">MaterialDCContext</t>
  </si>
  <si>
    <t xml:space="preserve">MaterialCLContext</t>
  </si>
  <si>
    <t xml:space="preserve">ResourceDCContext</t>
  </si>
  <si>
    <t xml:space="preserve">RPersonnelRequirements</t>
  </si>
  <si>
    <t xml:space="preserve">MaterialPDContext</t>
  </si>
  <si>
    <t xml:space="preserve">RPOverrideContext</t>
  </si>
  <si>
    <t xml:space="preserve">ResourceCLContext</t>
  </si>
  <si>
    <t xml:space="preserve">StepCRContext</t>
  </si>
  <si>
    <t xml:space="preserve">StepPRODYCTContext</t>
  </si>
  <si>
    <t xml:space="preserve">AreaPDContext</t>
  </si>
  <si>
    <t xml:space="preserve">LayoutPContext</t>
  </si>
  <si>
    <t xml:space="preserve">ProdUnitConFac</t>
  </si>
  <si>
    <t xml:space="preserve">MaintActPersReq</t>
  </si>
  <si>
    <t xml:space="preserve">IntHandlerRes</t>
  </si>
  <si>
    <t xml:space="preserve">AutomationInstances</t>
  </si>
  <si>
    <t xml:space="preserve">&lt;DM&gt;AutomationControllerInstance</t>
  </si>
  <si>
    <t xml:space="preserve">ResourceReplCont</t>
  </si>
  <si>
    <t xml:space="preserve">FacAutContOveride</t>
  </si>
  <si>
    <t xml:space="preserve">CertifReqQualif</t>
  </si>
  <si>
    <t xml:space="preserve">CertificationRequiredQualification</t>
  </si>
  <si>
    <t xml:space="preserve">StepInspectionSeverityContextInformation</t>
  </si>
  <si>
    <t xml:space="preserve">StepInspectionSeveritySwitchingRule</t>
  </si>
  <si>
    <t xml:space="preserve">SchedTransfMatSize</t>
  </si>
  <si>
    <t xml:space="preserve">CustomSAPRoutingOpe</t>
  </si>
  <si>
    <t xml:space="preserve">&lt;ST&gt;CustomSAPRoutingOperationCode</t>
  </si>
  <si>
    <t xml:space="preserve">CustomProductTypeBO</t>
  </si>
  <si>
    <t xml:space="preserve">&lt;GT&gt;CustomProductTypeBOMAssemblyType</t>
  </si>
  <si>
    <t xml:space="preserve">CustomIntegrationEn</t>
  </si>
  <si>
    <t xml:space="preserve">&lt;GT&gt;CustomIntegrationEntryHandler</t>
  </si>
  <si>
    <t xml:space="preserve">CustomMaxRWCount</t>
  </si>
  <si>
    <t xml:space="preserve">&lt;GT&gt;CustomMaxReworkCount</t>
  </si>
  <si>
    <t xml:space="preserve">ScheduleCriteria</t>
  </si>
  <si>
    <t xml:space="preserve">ScheduleSortingRule</t>
  </si>
  <si>
    <t xml:space="preserve">RuleSortingDirection</t>
  </si>
  <si>
    <t xml:space="preserve">FutureLogisticActionExecutionMode</t>
  </si>
  <si>
    <t xml:space="preserve">MaximimizePriorityFulfilment</t>
  </si>
  <si>
    <t xml:space="preserve">PossibleStartDate</t>
  </si>
  <si>
    <t xml:space="preserve">Ascending</t>
  </si>
  <si>
    <t xml:space="preserve">Manual</t>
  </si>
  <si>
    <t xml:space="preserve">MaximizeResourceUtilization</t>
  </si>
  <si>
    <t xml:space="preserve">Priority</t>
  </si>
  <si>
    <t xml:space="preserve">Descending</t>
  </si>
  <si>
    <t xml:space="preserve">Automatic</t>
  </si>
  <si>
    <t xml:space="preserve">MinimizeDeviationFromDeliveryDates</t>
  </si>
  <si>
    <t xml:space="preserve">ExecutionTime</t>
  </si>
  <si>
    <t xml:space="preserve">MinimizeLateMaterials</t>
  </si>
  <si>
    <t xml:space="preserve">MaterialName</t>
  </si>
  <si>
    <t xml:space="preserve">MinimizeMaximumLateness</t>
  </si>
  <si>
    <t xml:space="preserve">Quantity</t>
  </si>
  <si>
    <t xml:space="preserve">MinimizeNumberOfLateMaterials</t>
  </si>
  <si>
    <t xml:space="preserve">CharacteristicOfItemAtResource</t>
  </si>
  <si>
    <t xml:space="preserve">TimeScale</t>
  </si>
  <si>
    <t xml:space="preserve">DefaultScheduleView</t>
  </si>
  <si>
    <t xml:space="preserve">MinimizePriorityQuantityWeigthedCycleTime</t>
  </si>
  <si>
    <t xml:space="preserve">DueDate</t>
  </si>
  <si>
    <t xml:space="preserve">Days</t>
  </si>
  <si>
    <t xml:space="preserve">Day</t>
  </si>
  <si>
    <t xml:space="preserve">MinimizePriorityWeightedLateness</t>
  </si>
  <si>
    <t xml:space="preserve">ItemCode</t>
  </si>
  <si>
    <t xml:space="preserve">Hours</t>
  </si>
  <si>
    <t xml:space="preserve">Week</t>
  </si>
  <si>
    <t xml:space="preserve">MinimizeQuantityWeightedCycleTime</t>
  </si>
  <si>
    <t xml:space="preserve">Minutes</t>
  </si>
  <si>
    <t xml:space="preserve">Month</t>
  </si>
  <si>
    <t xml:space="preserve">MinimizeSetupTimes</t>
  </si>
  <si>
    <t xml:space="preserve">Seconds</t>
  </si>
  <si>
    <t xml:space="preserve">MinimizeTotalWaitingTime</t>
  </si>
  <si>
    <t xml:space="preserve">DispatchScheduleType</t>
  </si>
  <si>
    <t xml:space="preserve">Dispatching</t>
  </si>
  <si>
    <t xml:space="preserve">MaintenanceInstanceType</t>
  </si>
  <si>
    <t xml:space="preserve">Scheduling</t>
  </si>
  <si>
    <t xml:space="preserve">SamplingContext</t>
  </si>
  <si>
    <t xml:space="preserve">Resource</t>
  </si>
  <si>
    <t xml:space="preserve">SchedulingType</t>
  </si>
  <si>
    <t xml:space="preserve">MaterialType</t>
  </si>
  <si>
    <t xml:space="preserve">Container</t>
  </si>
  <si>
    <t xml:space="preserve">Machine</t>
  </si>
  <si>
    <t xml:space="preserve">MaterialProduct</t>
  </si>
  <si>
    <t xml:space="preserve">Batch</t>
  </si>
  <si>
    <t xml:space="preserve">MaterialProductMaturity</t>
  </si>
  <si>
    <t xml:space="preserve">Tunnel</t>
  </si>
  <si>
    <t xml:space="preserve">DefaultSamplingType</t>
  </si>
  <si>
    <t xml:space="preserve">MaterialResource</t>
  </si>
  <si>
    <t xml:space="preserve">CounterBased</t>
  </si>
  <si>
    <t xml:space="preserve">MaterialStep</t>
  </si>
  <si>
    <t xml:space="preserve">KPIType</t>
  </si>
  <si>
    <t xml:space="preserve">TimeBased</t>
  </si>
  <si>
    <t xml:space="preserve">MaterialStepMaturity</t>
  </si>
  <si>
    <t xml:space="preserve">Maximum</t>
  </si>
  <si>
    <t xml:space="preserve">CounterAndTimeBased</t>
  </si>
  <si>
    <t xml:space="preserve">Minimum</t>
  </si>
  <si>
    <t xml:space="preserve">ContentStorageType</t>
  </si>
  <si>
    <t xml:space="preserve">Deviation</t>
  </si>
  <si>
    <t xml:space="preserve">Internal</t>
  </si>
  <si>
    <t xml:space="preserve">External</t>
  </si>
  <si>
    <t xml:space="preserve">Frequency</t>
  </si>
  <si>
    <t xml:space="preserve">Daily</t>
  </si>
  <si>
    <t xml:space="preserve">Weekly</t>
  </si>
  <si>
    <t xml:space="preserve">Monthly</t>
  </si>
  <si>
    <t xml:space="preserve">Yearly</t>
  </si>
  <si>
    <t xml:space="preserve">Replace</t>
  </si>
  <si>
    <t xml:space="preserve">Allocation Type</t>
  </si>
  <si>
    <t xml:space="preserve">Operations</t>
  </si>
  <si>
    <t xml:space="preserve">Disposition Mode</t>
  </si>
  <si>
    <t xml:space="preserve">SplitMergeRestrictionType</t>
  </si>
  <si>
    <t xml:space="preserve">Body Format</t>
  </si>
  <si>
    <t xml:space="preserve">BeginAndCompleteMode</t>
  </si>
  <si>
    <t xml:space="preserve">Default Rotation</t>
  </si>
  <si>
    <t xml:space="preserve">ProductType</t>
  </si>
  <si>
    <t xml:space="preserve">Time Zone</t>
  </si>
  <si>
    <t xml:space="preserve">CaptureInstrumentBehavior</t>
  </si>
  <si>
    <t xml:space="preserve">SplitMode</t>
  </si>
  <si>
    <t xml:space="preserve">Scope</t>
  </si>
  <si>
    <t xml:space="preserve">Yes</t>
  </si>
  <si>
    <t xml:space="preserve">Definition</t>
  </si>
  <si>
    <t xml:space="preserve">BottomUpLeftRight</t>
  </si>
  <si>
    <t xml:space="preserve">Boolean</t>
  </si>
  <si>
    <t xml:space="preserve">AddOrSubtract</t>
  </si>
  <si>
    <t xml:space="preserve">Process</t>
  </si>
  <si>
    <t xml:space="preserve">MoveNext</t>
  </si>
  <si>
    <t xml:space="preserve">Allow</t>
  </si>
  <si>
    <t xml:space="preserve">NoSplitOrMergeRestrictions</t>
  </si>
  <si>
    <t xml:space="preserve">Binary</t>
  </si>
  <si>
    <t xml:space="preserve">ManualBeginAndComplete</t>
  </si>
  <si>
    <t xml:space="preserve">Rotate0</t>
  </si>
  <si>
    <t xml:space="preserve">Durable</t>
  </si>
  <si>
    <t xml:space="preserve">(UTC-12:00) International Date Line West</t>
  </si>
  <si>
    <t xml:space="preserve">None</t>
  </si>
  <si>
    <t xml:space="preserve">Process Step</t>
  </si>
  <si>
    <t xml:space="preserve">Label</t>
  </si>
  <si>
    <t xml:space="preserve">No</t>
  </si>
  <si>
    <t xml:space="preserve">Version</t>
  </si>
  <si>
    <t xml:space="preserve">BottomUpRightLeft</t>
  </si>
  <si>
    <t xml:space="preserve">DateTime</t>
  </si>
  <si>
    <t xml:space="preserve">Setup</t>
  </si>
  <si>
    <t xml:space="preserve">PerformSetup</t>
  </si>
  <si>
    <t xml:space="preserve">Approve</t>
  </si>
  <si>
    <t xml:space="preserve">SplitsNotAllowed</t>
  </si>
  <si>
    <t xml:space="preserve">Text</t>
  </si>
  <si>
    <t xml:space="preserve">AutoBeginAndComplete</t>
  </si>
  <si>
    <t xml:space="preserve">Rotate180</t>
  </si>
  <si>
    <t xml:space="preserve">FinishedGood</t>
  </si>
  <si>
    <t xml:space="preserve">(UTC-11:00) Coordinated Universal Time-11</t>
  </si>
  <si>
    <t xml:space="preserve">Always</t>
  </si>
  <si>
    <t xml:space="preserve">Inspection Step</t>
  </si>
  <si>
    <t xml:space="preserve">LotTraveler</t>
  </si>
  <si>
    <t xml:space="preserve">MinimizeAverageLateness</t>
  </si>
  <si>
    <t xml:space="preserve">Decimal</t>
  </si>
  <si>
    <t xml:space="preserve">Resource ProcessingType</t>
  </si>
  <si>
    <t xml:space="preserve">SetupAndProcess</t>
  </si>
  <si>
    <t xml:space="preserve">Rework</t>
  </si>
  <si>
    <t xml:space="preserve">Execute</t>
  </si>
  <si>
    <t xml:space="preserve">MergesNotAllowed</t>
  </si>
  <si>
    <t xml:space="preserve">Url</t>
  </si>
  <si>
    <t xml:space="preserve">Rotate270</t>
  </si>
  <si>
    <t xml:space="preserve">Part</t>
  </si>
  <si>
    <t xml:space="preserve">(UTC-10:00) Hawaii</t>
  </si>
  <si>
    <t xml:space="preserve">OnChange</t>
  </si>
  <si>
    <t xml:space="preserve">WeighAndDispenseLabel</t>
  </si>
  <si>
    <t xml:space="preserve">TopDownLeftRight</t>
  </si>
  <si>
    <t xml:space="preserve">Duration</t>
  </si>
  <si>
    <t xml:space="preserve">Component</t>
  </si>
  <si>
    <t xml:space="preserve">TrackIn</t>
  </si>
  <si>
    <t xml:space="preserve">Require</t>
  </si>
  <si>
    <t xml:space="preserve">SplitsAndMergesNotAllowed</t>
  </si>
  <si>
    <t xml:space="preserve">ReferredEntityType</t>
  </si>
  <si>
    <t xml:space="preserve">Rotate90</t>
  </si>
  <si>
    <t xml:space="preserve">RawMaterial</t>
  </si>
  <si>
    <t xml:space="preserve">(UTC-09:00) Alaska</t>
  </si>
  <si>
    <t xml:space="preserve">DoNotPurgeContexts</t>
  </si>
  <si>
    <t xml:space="preserve">ExceptionManagement</t>
  </si>
  <si>
    <t xml:space="preserve">TopDownRightLeft</t>
  </si>
  <si>
    <t xml:space="preserve">Long</t>
  </si>
  <si>
    <t xml:space="preserve">ConsumableFeed</t>
  </si>
  <si>
    <t xml:space="preserve">TrackOut</t>
  </si>
  <si>
    <t xml:space="preserve">Type</t>
  </si>
  <si>
    <t xml:space="preserve">Area</t>
  </si>
  <si>
    <t xml:space="preserve">SemiFinishedGood</t>
  </si>
  <si>
    <t xml:space="preserve">(UTC-08:00) Baja California</t>
  </si>
  <si>
    <t xml:space="preserve">Counter Mode:</t>
  </si>
  <si>
    <t xml:space="preserve">DoNotStoreContexts</t>
  </si>
  <si>
    <t xml:space="preserve">General</t>
  </si>
  <si>
    <t xml:space="preserve">String</t>
  </si>
  <si>
    <t xml:space="preserve">Instrument</t>
  </si>
  <si>
    <t xml:space="preserve">{X}</t>
  </si>
  <si>
    <t xml:space="preserve">PerformImmediate</t>
  </si>
  <si>
    <t xml:space="preserve">SPC Post Mode</t>
  </si>
  <si>
    <t xml:space="preserve">Chart Type</t>
  </si>
  <si>
    <t xml:space="preserve">Constant</t>
  </si>
  <si>
    <t xml:space="preserve">Ruler Mode</t>
  </si>
  <si>
    <t xml:space="preserve">(UTC-08:00) Pacific Time (US &amp; Canada)</t>
  </si>
  <si>
    <t xml:space="preserve">InspectionFrequency</t>
  </si>
  <si>
    <t xml:space="preserve">Decreasing</t>
  </si>
  <si>
    <t xml:space="preserve">ScheduleScenarioType</t>
  </si>
  <si>
    <t xml:space="preserve">Double</t>
  </si>
  <si>
    <t xml:space="preserve">PurgeContextsWithRetentionTime</t>
  </si>
  <si>
    <t xml:space="preserve">MaintenanceManagement</t>
  </si>
  <si>
    <t xml:space="preserve">MaximizePriorityFulfillment</t>
  </si>
  <si>
    <t xml:space="preserve">Line</t>
  </si>
  <si>
    <t xml:space="preserve">{X}.{Y}</t>
  </si>
  <si>
    <t xml:space="preserve">DataCollection Type</t>
  </si>
  <si>
    <t xml:space="preserve">OnClosePerParameter</t>
  </si>
  <si>
    <t xml:space="preserve">AverageAndRange</t>
  </si>
  <si>
    <t xml:space="preserve">Expression</t>
  </si>
  <si>
    <t xml:space="preserve">Absolute</t>
  </si>
  <si>
    <t xml:space="preserve">FloorLifeUnitOfTime</t>
  </si>
  <si>
    <t xml:space="preserve">(UTC-07:00) Arizona</t>
  </si>
  <si>
    <t xml:space="preserve">Fixed</t>
  </si>
  <si>
    <t xml:space="preserve">Increasing</t>
  </si>
  <si>
    <t xml:space="preserve">OperationalScheduleAccurate</t>
  </si>
  <si>
    <t xml:space="preserve">Int16</t>
  </si>
  <si>
    <t xml:space="preserve">MaterialTracking</t>
  </si>
  <si>
    <t xml:space="preserve">LoadPort</t>
  </si>
  <si>
    <t xml:space="preserve">{X}.{Y}.{Z}</t>
  </si>
  <si>
    <t xml:space="preserve">Immediate</t>
  </si>
  <si>
    <t xml:space="preserve">OnClosePerSample</t>
  </si>
  <si>
    <t xml:space="preserve">AverageAndStandardDeviation</t>
  </si>
  <si>
    <t xml:space="preserve">Input</t>
  </si>
  <si>
    <t xml:space="preserve">Material</t>
  </si>
  <si>
    <t xml:space="preserve">ContinueOnBreak</t>
  </si>
  <si>
    <t xml:space="preserve">(UTC-07:00) Chihuahua, La Paz, Mazatlan</t>
  </si>
  <si>
    <t xml:space="preserve">Percentage</t>
  </si>
  <si>
    <t xml:space="preserve">OperationalScheduleFast</t>
  </si>
  <si>
    <t xml:space="preserve">Int32</t>
  </si>
  <si>
    <t xml:space="preserve">ResourceTracking</t>
  </si>
  <si>
    <t xml:space="preserve">{X}.{Y}.{Z}-{0}</t>
  </si>
  <si>
    <t xml:space="preserve">LongRunning</t>
  </si>
  <si>
    <t xml:space="preserve">OnPostPerSample</t>
  </si>
  <si>
    <t xml:space="preserve">MedianAndRange</t>
  </si>
  <si>
    <t xml:space="preserve">Rule</t>
  </si>
  <si>
    <t xml:space="preserve">ResetOnBreak</t>
  </si>
  <si>
    <t xml:space="preserve">(UTC-07:00) Mountain Time (US &amp; Canada)</t>
  </si>
  <si>
    <t xml:space="preserve">Switching Rules:</t>
  </si>
  <si>
    <t xml:space="preserve">PlanningSchedule</t>
  </si>
  <si>
    <t xml:space="preserve">Int64</t>
  </si>
  <si>
    <t xml:space="preserve">AbsoluteCounter</t>
  </si>
  <si>
    <t xml:space="preserve">MinimizePriorityQuantityWeightedCycleTime</t>
  </si>
  <si>
    <t xml:space="preserve">Characteristic</t>
  </si>
  <si>
    <t xml:space="preserve">Storage</t>
  </si>
  <si>
    <t xml:space="preserve">LongRunningAfterTrackIn</t>
  </si>
  <si>
    <t xml:space="preserve">IndividualsAndMovingRange</t>
  </si>
  <si>
    <t xml:space="preserve">(UTC-06:00) Central Time (US &amp; Canada)</t>
  </si>
  <si>
    <t xml:space="preserve">First</t>
  </si>
  <si>
    <t xml:space="preserve">NorMoreInspectionsFailed</t>
  </si>
  <si>
    <t xml:space="preserve">Specification</t>
  </si>
  <si>
    <t xml:space="preserve">Transport</t>
  </si>
  <si>
    <t xml:space="preserve">ReferenceType</t>
  </si>
  <si>
    <t xml:space="preserve">Sample Type</t>
  </si>
  <si>
    <t xml:space="preserve">FractionDefective</t>
  </si>
  <si>
    <t xml:space="preserve">RequestApprovalMode</t>
  </si>
  <si>
    <t xml:space="preserve">BOMScope</t>
  </si>
  <si>
    <t xml:space="preserve">MapDefinition Type</t>
  </si>
  <si>
    <t xml:space="preserve">(UTC-06:00) Guadalajara, Mexico City, Monterrey</t>
  </si>
  <si>
    <t xml:space="preserve">Any</t>
  </si>
  <si>
    <t xml:space="preserve">NorMoreFailsFound</t>
  </si>
  <si>
    <t xml:space="preserve">ScheduleViewMode</t>
  </si>
  <si>
    <t xml:space="preserve">MinimizeTotalCycleTime</t>
  </si>
  <si>
    <t xml:space="preserve">EntityDefinition</t>
  </si>
  <si>
    <t xml:space="preserve">Display Mode</t>
  </si>
  <si>
    <t xml:space="preserve">FreeText</t>
  </si>
  <si>
    <t xml:space="preserve">NumberDefective</t>
  </si>
  <si>
    <t xml:space="preserve">AutoApproval</t>
  </si>
  <si>
    <t xml:space="preserve">Materials</t>
  </si>
  <si>
    <t xml:space="preserve">Attribute</t>
  </si>
  <si>
    <t xml:space="preserve">Weeks</t>
  </si>
  <si>
    <t xml:space="preserve">(UTC-06:00) Central America</t>
  </si>
  <si>
    <t xml:space="preserve">Last</t>
  </si>
  <si>
    <t xml:space="preserve">NorMoreInspectionsWithFails</t>
  </si>
  <si>
    <t xml:space="preserve">Dee</t>
  </si>
  <si>
    <t xml:space="preserve">Position Unit Type</t>
  </si>
  <si>
    <t xml:space="preserve">EntityType</t>
  </si>
  <si>
    <t xml:space="preserve">AcknowledgeAlways</t>
  </si>
  <si>
    <t xml:space="preserve">List</t>
  </si>
  <si>
    <t xml:space="preserve">NumberOfDefects</t>
  </si>
  <si>
    <t xml:space="preserve">ManualApproval</t>
  </si>
  <si>
    <t xml:space="preserve">Parts</t>
  </si>
  <si>
    <t xml:space="preserve">Bin</t>
  </si>
  <si>
    <t xml:space="preserve">Months</t>
  </si>
  <si>
    <t xml:space="preserve">(UTC-06:00) Saskatchewan</t>
  </si>
  <si>
    <t xml:space="preserve">FirstAndLast</t>
  </si>
  <si>
    <t xml:space="preserve">NorLessInspectionPerformed</t>
  </si>
  <si>
    <t xml:space="preserve">ProductionOrderSteps</t>
  </si>
  <si>
    <t xml:space="preserve">Default</t>
  </si>
  <si>
    <t xml:space="preserve">FiscalDateTime</t>
  </si>
  <si>
    <t xml:space="preserve">Bonus</t>
  </si>
  <si>
    <t xml:space="preserve">ConsumeInventory</t>
  </si>
  <si>
    <t xml:space="preserve">EntityVersion</t>
  </si>
  <si>
    <t xml:space="preserve">AcknowledgeOnViolationsOnly</t>
  </si>
  <si>
    <t xml:space="preserve">MaterialId</t>
  </si>
  <si>
    <t xml:space="preserve">NumberOfDefectsPerUnit</t>
  </si>
  <si>
    <t xml:space="preserve">Durables</t>
  </si>
  <si>
    <t xml:space="preserve">Loss</t>
  </si>
  <si>
    <t xml:space="preserve">Years</t>
  </si>
  <si>
    <t xml:space="preserve">(UTC-05:00) Bogota, Lima, Quito, Rio Branco</t>
  </si>
  <si>
    <t xml:space="preserve">AQL</t>
  </si>
  <si>
    <t xml:space="preserve">NorMoreInspectionsPassedWithWarning</t>
  </si>
  <si>
    <t xml:space="preserve">Disabled</t>
  </si>
  <si>
    <t xml:space="preserve">Guid</t>
  </si>
  <si>
    <t xml:space="preserve">Hold</t>
  </si>
  <si>
    <t xml:space="preserve">ConsumeMaterial</t>
  </si>
  <si>
    <t xml:space="preserve">Enum</t>
  </si>
  <si>
    <t xml:space="preserve">DisplayAlways</t>
  </si>
  <si>
    <t xml:space="preserve">SampleSize</t>
  </si>
  <si>
    <t xml:space="preserve">OrderReleaseMode</t>
  </si>
  <si>
    <t xml:space="preserve">WeighAndDispense</t>
  </si>
  <si>
    <t xml:space="preserve">LossClassification</t>
  </si>
  <si>
    <t xml:space="preserve">(UTC-05:00) Eastern Time (US &amp; Canada)</t>
  </si>
  <si>
    <t xml:space="preserve">Centering</t>
  </si>
  <si>
    <t xml:space="preserve">NorMoreInspectionsPassed</t>
  </si>
  <si>
    <t xml:space="preserve">ProductionOrderSchedulingMode</t>
  </si>
  <si>
    <t xml:space="preserve">Invisible</t>
  </si>
  <si>
    <t xml:space="preserve">NotDefined</t>
  </si>
  <si>
    <t xml:space="preserve">ManualTask</t>
  </si>
  <si>
    <t xml:space="preserve">GenericTable</t>
  </si>
  <si>
    <t xml:space="preserve">DisplayOnViolationsOnly</t>
  </si>
  <si>
    <t xml:space="preserve">PieceNumber</t>
  </si>
  <si>
    <t xml:space="preserve">Specification Limits Mode</t>
  </si>
  <si>
    <t xml:space="preserve">ManualRelease</t>
  </si>
  <si>
    <t xml:space="preserve">Measurement</t>
  </si>
  <si>
    <t xml:space="preserve">Assessment</t>
  </si>
  <si>
    <t xml:space="preserve">(UTC-05:00) Indiana (East)</t>
  </si>
  <si>
    <t xml:space="preserve">NorLessFailsFound</t>
  </si>
  <si>
    <t xml:space="preserve">FixedSize</t>
  </si>
  <si>
    <t xml:space="preserve">Property</t>
  </si>
  <si>
    <t xml:space="preserve">ManualAction</t>
  </si>
  <si>
    <t xml:space="preserve">OffFlow</t>
  </si>
  <si>
    <t xml:space="preserve">TransferInventory</t>
  </si>
  <si>
    <t xml:space="preserve">LoadPort Information</t>
  </si>
  <si>
    <t xml:space="preserve">LookupTable</t>
  </si>
  <si>
    <t xml:space="preserve">SampleNumber</t>
  </si>
  <si>
    <t xml:space="preserve">Product</t>
  </si>
  <si>
    <t xml:space="preserve">AutoRelease</t>
  </si>
  <si>
    <t xml:space="preserve">Formula Type</t>
  </si>
  <si>
    <t xml:space="preserve">Conditional</t>
  </si>
  <si>
    <t xml:space="preserve">(UTC-04:00) Caracas</t>
  </si>
  <si>
    <t xml:space="preserve">NorLessInspectionsWithFails</t>
  </si>
  <si>
    <t xml:space="preserve">FullProductionOrder</t>
  </si>
  <si>
    <t xml:space="preserve">RolloverCounter</t>
  </si>
  <si>
    <t xml:space="preserve">AutomaticAction</t>
  </si>
  <si>
    <t xml:space="preserve">Defect</t>
  </si>
  <si>
    <t xml:space="preserve">TransferMaterial</t>
  </si>
  <si>
    <t xml:space="preserve">LookupValue</t>
  </si>
  <si>
    <t xml:space="preserve">Calculation</t>
  </si>
  <si>
    <t xml:space="preserve">Chart</t>
  </si>
  <si>
    <t xml:space="preserve">MapDefinition DataType</t>
  </si>
  <si>
    <t xml:space="preserve">Fail</t>
  </si>
  <si>
    <t xml:space="preserve">(UTC-04:00) Asuncion</t>
  </si>
  <si>
    <t xml:space="preserve">InspectionFrequencyConfigurationMode</t>
  </si>
  <si>
    <t xml:space="preserve">NorMoreInspectionPerformed</t>
  </si>
  <si>
    <t xml:space="preserve">EMailBody</t>
  </si>
  <si>
    <t xml:space="preserve">Signature</t>
  </si>
  <si>
    <t xml:space="preserve">InputOutput</t>
  </si>
  <si>
    <t xml:space="preserve">Line Validation Mode</t>
  </si>
  <si>
    <t xml:space="preserve">Average</t>
  </si>
  <si>
    <t xml:space="preserve">CompletionAcceptanceMode</t>
  </si>
  <si>
    <t xml:space="preserve">Relative</t>
  </si>
  <si>
    <t xml:space="preserve">Pass</t>
  </si>
  <si>
    <t xml:space="preserve">(UTC-04:00) Atlantic Time (Canada)</t>
  </si>
  <si>
    <t xml:space="preserve">TrackOutMaterialMode</t>
  </si>
  <si>
    <t xml:space="preserve">EMailSubject</t>
  </si>
  <si>
    <t xml:space="preserve">Role</t>
  </si>
  <si>
    <t xml:space="preserve">AtEverySubTrackIn</t>
  </si>
  <si>
    <t xml:space="preserve">DisplayDefaultFilterMode</t>
  </si>
  <si>
    <t xml:space="preserve">AutoAcceptance</t>
  </si>
  <si>
    <t xml:space="preserve">Unspecified</t>
  </si>
  <si>
    <t xml:space="preserve">(UTC-04:00) Cuiaba</t>
  </si>
  <si>
    <t xml:space="preserve">Child</t>
  </si>
  <si>
    <t xml:space="preserve">Bypass</t>
  </si>
  <si>
    <t xml:space="preserve">Metrology</t>
  </si>
  <si>
    <t xml:space="preserve">Output</t>
  </si>
  <si>
    <t xml:space="preserve">SmartTable</t>
  </si>
  <si>
    <t xml:space="preserve">AtFirstSubTrackIn</t>
  </si>
  <si>
    <t xml:space="preserve">LastNumberOfPoints</t>
  </si>
  <si>
    <t xml:space="preserve">ManualAcceptance</t>
  </si>
  <si>
    <t xml:space="preserve">StepFureAction</t>
  </si>
  <si>
    <t xml:space="preserve">Integer</t>
  </si>
  <si>
    <t xml:space="preserve">(UTC-04:00) Georgetown, La Paz, Manaus, San Juan</t>
  </si>
  <si>
    <t xml:space="preserve">PartReplacementMode</t>
  </si>
  <si>
    <t xml:space="preserve">ChildExceptLast</t>
  </si>
  <si>
    <t xml:space="preserve">Message</t>
  </si>
  <si>
    <t xml:space="preserve">Generic</t>
  </si>
  <si>
    <t xml:space="preserve">End</t>
  </si>
  <si>
    <t xml:space="preserve">Logistical</t>
  </si>
  <si>
    <t xml:space="preserve">StateModel</t>
  </si>
  <si>
    <t xml:space="preserve">AtTrackIn</t>
  </si>
  <si>
    <t xml:space="preserve">DateInterval</t>
  </si>
  <si>
    <t xml:space="preserve">Multimedia Scope</t>
  </si>
  <si>
    <t xml:space="preserve">(UTC-04:00) Santiago</t>
  </si>
  <si>
    <t xml:space="preserve">Allowed</t>
  </si>
  <si>
    <t xml:space="preserve">Specific</t>
  </si>
  <si>
    <t xml:space="preserve">StartAndEnd</t>
  </si>
  <si>
    <t xml:space="preserve">Exclude</t>
  </si>
  <si>
    <t xml:space="preserve">Calibration Status</t>
  </si>
  <si>
    <t xml:space="preserve">Range</t>
  </si>
  <si>
    <t xml:space="preserve">ScheduleType</t>
  </si>
  <si>
    <t xml:space="preserve">SetNote</t>
  </si>
  <si>
    <t xml:space="preserve">FabLive</t>
  </si>
  <si>
    <t xml:space="preserve">(UTC-03:30) Newfoundland</t>
  </si>
  <si>
    <t xml:space="preserve">AQLAcceptanceQualityLimitType</t>
  </si>
  <si>
    <t xml:space="preserve">NotAllowed</t>
  </si>
  <si>
    <t xml:space="preserve">MaterialLossesMode</t>
  </si>
  <si>
    <t xml:space="preserve">Include</t>
  </si>
  <si>
    <t xml:space="preserve">Calibrated</t>
  </si>
  <si>
    <t xml:space="preserve">ScalarType</t>
  </si>
  <si>
    <t xml:space="preserve">IndicatorsToShowByDefault</t>
  </si>
  <si>
    <t xml:space="preserve">Collapse</t>
  </si>
  <si>
    <t xml:space="preserve">(UTC-03:00) Brasilia</t>
  </si>
  <si>
    <t xml:space="preserve">NonconformitiesPerHundredUnits</t>
  </si>
  <si>
    <t xml:space="preserve">Required</t>
  </si>
  <si>
    <t xml:space="preserve">InProcessMaterialExceptLast</t>
  </si>
  <si>
    <t xml:space="preserve">MainMaterial</t>
  </si>
  <si>
    <t xml:space="preserve">InCalibration</t>
  </si>
  <si>
    <t xml:space="preserve">BigInt</t>
  </si>
  <si>
    <t xml:space="preserve">Line Assemby Mode</t>
  </si>
  <si>
    <t xml:space="preserve">StandardDeviation</t>
  </si>
  <si>
    <t xml:space="preserve">Indicator1And2</t>
  </si>
  <si>
    <t xml:space="preserve">UsageBased</t>
  </si>
  <si>
    <t xml:space="preserve">Detach</t>
  </si>
  <si>
    <t xml:space="preserve">AutomationProtocolParameter DataType</t>
  </si>
  <si>
    <t xml:space="preserve">Icon</t>
  </si>
  <si>
    <t xml:space="preserve">(UTC-03:00) City of Buenos Aires</t>
  </si>
  <si>
    <t xml:space="preserve">PercentNonconforming</t>
  </si>
  <si>
    <t xml:space="preserve">TrackedOutMaterial</t>
  </si>
  <si>
    <t xml:space="preserve">LockNone</t>
  </si>
  <si>
    <t xml:space="preserve">AlarmManagement</t>
  </si>
  <si>
    <t xml:space="preserve">Free</t>
  </si>
  <si>
    <t xml:space="preserve">UnscheduledJobsHandlingMode</t>
  </si>
  <si>
    <t xml:space="preserve">AreaEmployee</t>
  </si>
  <si>
    <t xml:space="preserve">NotCalibrated</t>
  </si>
  <si>
    <t xml:space="preserve">AutomaticAtTrackIn</t>
  </si>
  <si>
    <t xml:space="preserve">Sum</t>
  </si>
  <si>
    <t xml:space="preserve">Indicator1</t>
  </si>
  <si>
    <t xml:space="preserve">UsageAndTimeBased</t>
  </si>
  <si>
    <t xml:space="preserve">CreateSendAheadRun</t>
  </si>
  <si>
    <t xml:space="preserve">(UTC-03:00) Cayenne, Fortaleza</t>
  </si>
  <si>
    <t xml:space="preserve">LockSource</t>
  </si>
  <si>
    <t xml:space="preserve">CertificationManagement</t>
  </si>
  <si>
    <t xml:space="preserve">Ignore</t>
  </si>
  <si>
    <t xml:space="preserve">SubMaterials</t>
  </si>
  <si>
    <t xml:space="preserve">CostCenterEmployee</t>
  </si>
  <si>
    <t xml:space="preserve">Bit</t>
  </si>
  <si>
    <t xml:space="preserve">AutomaticAtTrackOut</t>
  </si>
  <si>
    <t xml:space="preserve">Indicator2</t>
  </si>
  <si>
    <t xml:space="preserve">Adhoc</t>
  </si>
  <si>
    <t xml:space="preserve">SendMail</t>
  </si>
  <si>
    <t xml:space="preserve">(UTC-03:00) Greenland</t>
  </si>
  <si>
    <t xml:space="preserve">Results Capture Mode</t>
  </si>
  <si>
    <t xml:space="preserve">MaintenanceType</t>
  </si>
  <si>
    <t xml:space="preserve">LockSourceAndTarget</t>
  </si>
  <si>
    <t xml:space="preserve">ConnectIoT</t>
  </si>
  <si>
    <t xml:space="preserve">Query</t>
  </si>
  <si>
    <t xml:space="preserve">Stop</t>
  </si>
  <si>
    <t xml:space="preserve">Requester</t>
  </si>
  <si>
    <t xml:space="preserve">Automation</t>
  </si>
  <si>
    <t xml:space="preserve">Image</t>
  </si>
  <si>
    <t xml:space="preserve">Grouping</t>
  </si>
  <si>
    <t xml:space="preserve">SetService</t>
  </si>
  <si>
    <t xml:space="preserve">ScheduleMode</t>
  </si>
  <si>
    <t xml:space="preserve">(UTC-03:00) Montevideo</t>
  </si>
  <si>
    <t xml:space="preserve">MaximumAcceptableDefectsMode</t>
  </si>
  <si>
    <t xml:space="preserve">Preventive</t>
  </si>
  <si>
    <t xml:space="preserve">LockTarget</t>
  </si>
  <si>
    <t xml:space="preserve">EDC</t>
  </si>
  <si>
    <t xml:space="preserve">Lomg</t>
  </si>
  <si>
    <t xml:space="preserve">PanelToShowByDefault</t>
  </si>
  <si>
    <t xml:space="preserve">TimeScheduleMode</t>
  </si>
  <si>
    <t xml:space="preserve">SetResource</t>
  </si>
  <si>
    <t xml:space="preserve">Earliest</t>
  </si>
  <si>
    <t xml:space="preserve">(UTC-03:00) Salvador</t>
  </si>
  <si>
    <t xml:space="preserve">ManualAtTrackOut</t>
  </si>
  <si>
    <t xml:space="preserve">Corrective</t>
  </si>
  <si>
    <t xml:space="preserve">EFC</t>
  </si>
  <si>
    <t xml:space="preserve">CreateCopy</t>
  </si>
  <si>
    <t xml:space="preserve">Hazard Classifications - Fire</t>
  </si>
  <si>
    <t xml:space="preserve">Offline</t>
  </si>
  <si>
    <t xml:space="preserve">CompressedBinary</t>
  </si>
  <si>
    <t xml:space="preserve">Parameter</t>
  </si>
  <si>
    <t xml:space="preserve">AnyDay</t>
  </si>
  <si>
    <t xml:space="preserve">Latest</t>
  </si>
  <si>
    <t xml:space="preserve">(UTC-02:00) Coordinated Universal Time-02</t>
  </si>
  <si>
    <t xml:space="preserve">AutomaticFixed</t>
  </si>
  <si>
    <t xml:space="preserve">SPCWithNoViolation</t>
  </si>
  <si>
    <t xml:space="preserve">Calibration</t>
  </si>
  <si>
    <t xml:space="preserve">ExceptionManagementAction</t>
  </si>
  <si>
    <t xml:space="preserve">AllCertifications</t>
  </si>
  <si>
    <t xml:space="preserve">CreateNew</t>
  </si>
  <si>
    <t xml:space="preserve">ExtremelyFlammable</t>
  </si>
  <si>
    <t xml:space="preserve">Online</t>
  </si>
  <si>
    <t xml:space="preserve">Date</t>
  </si>
  <si>
    <t xml:space="preserve">Sample</t>
  </si>
  <si>
    <t xml:space="preserve">DataPointDetails</t>
  </si>
  <si>
    <t xml:space="preserve">NextWorkingDay</t>
  </si>
  <si>
    <t xml:space="preserve">MaterialFutureAction</t>
  </si>
  <si>
    <t xml:space="preserve">(UTC-02:00) Mid-Atlantic - Old</t>
  </si>
  <si>
    <t xml:space="preserve">AutomaticPercentage</t>
  </si>
  <si>
    <t xml:space="preserve">DataCollectionWithinLimits</t>
  </si>
  <si>
    <t xml:space="preserve">Inspection</t>
  </si>
  <si>
    <t xml:space="preserve">ExceptionManagementSource</t>
  </si>
  <si>
    <t xml:space="preserve">Position</t>
  </si>
  <si>
    <t xml:space="preserve">CreateNone</t>
  </si>
  <si>
    <t xml:space="preserve">IgnitesAtNormalTemperatures</t>
  </si>
  <si>
    <t xml:space="preserve">DataPointReadings</t>
  </si>
  <si>
    <t xml:space="preserve">PreviousWorkingDay</t>
  </si>
  <si>
    <t xml:space="preserve">ChangeFlowAndStep</t>
  </si>
  <si>
    <t xml:space="preserve">ReorderMode</t>
  </si>
  <si>
    <t xml:space="preserve">(UTC-01:00) Azores</t>
  </si>
  <si>
    <t xml:space="preserve">CustomProperty</t>
  </si>
  <si>
    <t xml:space="preserve">IgnitesWhenModeratelyHeated</t>
  </si>
  <si>
    <t xml:space="preserve">Dimension X Orientation</t>
  </si>
  <si>
    <t xml:space="preserve">DateTime2</t>
  </si>
  <si>
    <t xml:space="preserve">Limit Checking</t>
  </si>
  <si>
    <t xml:space="preserve">DataPointContext</t>
  </si>
  <si>
    <t xml:space="preserve">(UTC-01:00) Cabo Verde Is.</t>
  </si>
  <si>
    <t xml:space="preserve">MaterialTypeRestrictionMode</t>
  </si>
  <si>
    <t xml:space="preserve">InspectionReducing</t>
  </si>
  <si>
    <t xml:space="preserve">MustBePreHeatedToBurn</t>
  </si>
  <si>
    <t xml:space="preserve">LeftToRight</t>
  </si>
  <si>
    <t xml:space="preserve">Multiplication Factor</t>
  </si>
  <si>
    <t xml:space="preserve">CalculatedValue</t>
  </si>
  <si>
    <t xml:space="preserve">DataPointViolations</t>
  </si>
  <si>
    <t xml:space="preserve">ScheduleNextMode</t>
  </si>
  <si>
    <t xml:space="preserve">(UTC+00:00) Casablanca</t>
  </si>
  <si>
    <t xml:space="preserve">AllowNone</t>
  </si>
  <si>
    <t xml:space="preserve">InspectionTightening</t>
  </si>
  <si>
    <t xml:space="preserve">Expand</t>
  </si>
  <si>
    <t xml:space="preserve">WillNotBurn</t>
  </si>
  <si>
    <t xml:space="preserve">RightToLeft</t>
  </si>
  <si>
    <t xml:space="preserve">Float</t>
  </si>
  <si>
    <t xml:space="preserve">IndividualValue</t>
  </si>
  <si>
    <t xml:space="preserve">DataPointStatistics</t>
  </si>
  <si>
    <t xml:space="preserve">Dependant</t>
  </si>
  <si>
    <t xml:space="preserve">(UTC+00:00) Dublin, Edinburgh, Lisbon, London</t>
  </si>
  <si>
    <t xml:space="preserve">PlanItemLevel</t>
  </si>
  <si>
    <t xml:space="preserve">AllowAll</t>
  </si>
  <si>
    <t xml:space="preserve">KPIDataSource</t>
  </si>
  <si>
    <t xml:space="preserve">MaterialDueDate</t>
  </si>
  <si>
    <t xml:space="preserve">HTML</t>
  </si>
  <si>
    <t xml:space="preserve">PrimaryQuantity</t>
  </si>
  <si>
    <t xml:space="preserve">ChartStatistics</t>
  </si>
  <si>
    <t xml:space="preserve">Merge</t>
  </si>
  <si>
    <t xml:space="preserve">MultimediaScope</t>
  </si>
  <si>
    <t xml:space="preserve">UTC</t>
  </si>
  <si>
    <t xml:space="preserve">SampleValueType</t>
  </si>
  <si>
    <t xml:space="preserve">AllowSpecific</t>
  </si>
  <si>
    <t xml:space="preserve">LaborManagement</t>
  </si>
  <si>
    <t xml:space="preserve">File</t>
  </si>
  <si>
    <t xml:space="preserve">Hazard Classifications - Health</t>
  </si>
  <si>
    <t xml:space="preserve">Dimension Y Orientation</t>
  </si>
  <si>
    <t xml:space="preserve">SecondaryQuantity</t>
  </si>
  <si>
    <t xml:space="preserve">Percentage Source</t>
  </si>
  <si>
    <t xml:space="preserve">(UTC+00:00) Monrovia, Reykjavik</t>
  </si>
  <si>
    <t xml:space="preserve">ProductGroup</t>
  </si>
  <si>
    <t xml:space="preserve">MaintenanceManagementAction</t>
  </si>
  <si>
    <t xml:space="preserve">MaterialSequence</t>
  </si>
  <si>
    <t xml:space="preserve">Employee</t>
  </si>
  <si>
    <t xml:space="preserve">Deadly</t>
  </si>
  <si>
    <t xml:space="preserve">BottomToTop</t>
  </si>
  <si>
    <t xml:space="preserve">JSON</t>
  </si>
  <si>
    <t xml:space="preserve">MaterialsCount</t>
  </si>
  <si>
    <t xml:space="preserve">YAxisScaleMode</t>
  </si>
  <si>
    <t xml:space="preserve">TimeDueScale</t>
  </si>
  <si>
    <t xml:space="preserve">Split</t>
  </si>
  <si>
    <t xml:space="preserve">Object</t>
  </si>
  <si>
    <t xml:space="preserve">(UTC+01:00) Amsterdam, Berlin, Bern, Rome, Stockholm, Vienna</t>
  </si>
  <si>
    <t xml:space="preserve">Variable</t>
  </si>
  <si>
    <t xml:space="preserve">SchedulingMode</t>
  </si>
  <si>
    <t xml:space="preserve">MaterialManagementAction</t>
  </si>
  <si>
    <t xml:space="preserve">Everyone</t>
  </si>
  <si>
    <t xml:space="preserve">ExtremeDanger</t>
  </si>
  <si>
    <t xml:space="preserve">TopToBottom</t>
  </si>
  <si>
    <t xml:space="preserve">NVarChar</t>
  </si>
  <si>
    <t xml:space="preserve">KPI SourceType</t>
  </si>
  <si>
    <t xml:space="preserve">SplitForStep</t>
  </si>
  <si>
    <t xml:space="preserve">(UTC+01:00) Belgrade, Bratislava, Budapest, Ljubljana, Prague</t>
  </si>
  <si>
    <t xml:space="preserve">Result</t>
  </si>
  <si>
    <t xml:space="preserve">TimeUnit</t>
  </si>
  <si>
    <t xml:space="preserve">OrderManagementAction</t>
  </si>
  <si>
    <t xml:space="preserve">OperationalDueDate</t>
  </si>
  <si>
    <t xml:space="preserve">Hazardous</t>
  </si>
  <si>
    <t xml:space="preserve">Static</t>
  </si>
  <si>
    <t xml:space="preserve">TemporaryOffFlow</t>
  </si>
  <si>
    <t xml:space="preserve">Time</t>
  </si>
  <si>
    <t xml:space="preserve">(UTC+01:00) Brussels, Copenhagen, Madrid, Paris</t>
  </si>
  <si>
    <t xml:space="preserve">DefectCount</t>
  </si>
  <si>
    <t xml:space="preserve">ProductionOrder</t>
  </si>
  <si>
    <t xml:space="preserve">PrintableDocumentContextItem</t>
  </si>
  <si>
    <t xml:space="preserve">NoHazard</t>
  </si>
  <si>
    <t xml:space="preserve">Dimension Z Orientation</t>
  </si>
  <si>
    <t xml:space="preserve">Dynamic</t>
  </si>
  <si>
    <t xml:space="preserve">Terminate</t>
  </si>
  <si>
    <t xml:space="preserve">(UTC+01:00) Sarajevo, Skopje, Warsaw, Zagreb</t>
  </si>
  <si>
    <t xml:space="preserve">Shift</t>
  </si>
  <si>
    <t xml:space="preserve">RecipeManagement</t>
  </si>
  <si>
    <t xml:space="preserve">SlightlyHazardous</t>
  </si>
  <si>
    <t xml:space="preserve">Negative</t>
  </si>
  <si>
    <t xml:space="preserve">TinyInt</t>
  </si>
  <si>
    <t xml:space="preserve">PositionUnitType</t>
  </si>
  <si>
    <t xml:space="preserve">Mode</t>
  </si>
  <si>
    <t xml:space="preserve">(UTC+01:00) West Central Africa</t>
  </si>
  <si>
    <t xml:space="preserve">SPC</t>
  </si>
  <si>
    <t xml:space="preserve">Positive</t>
  </si>
  <si>
    <t xml:space="preserve">URL</t>
  </si>
  <si>
    <t xml:space="preserve">KPI Type</t>
  </si>
  <si>
    <t xml:space="preserve">Dimension X/Y/Z/0 address format</t>
  </si>
  <si>
    <t xml:space="preserve">(UTC+02:00) Windhoek</t>
  </si>
  <si>
    <t xml:space="preserve">SampleCountSource</t>
  </si>
  <si>
    <t xml:space="preserve">SPCAction</t>
  </si>
  <si>
    <t xml:space="preserve">SetupCharacteristic</t>
  </si>
  <si>
    <t xml:space="preserve">Facility</t>
  </si>
  <si>
    <t xml:space="preserve">Hazard Classifications - Instability</t>
  </si>
  <si>
    <t xml:space="preserve">VarBinary</t>
  </si>
  <si>
    <t xml:space="preserve">FullMaterial</t>
  </si>
  <si>
    <t xml:space="preserve">TimeDueOnDayOfWeek</t>
  </si>
  <si>
    <t xml:space="preserve">(UTC+02:00) Amman</t>
  </si>
  <si>
    <t xml:space="preserve">SamplingSelection</t>
  </si>
  <si>
    <t xml:space="preserve">SetupTime</t>
  </si>
  <si>
    <t xml:space="preserve">InProgress</t>
  </si>
  <si>
    <t xml:space="preserve">MayDetonate</t>
  </si>
  <si>
    <t xml:space="preserve">Dimension 0 Orientation</t>
  </si>
  <si>
    <t xml:space="preserve">VarChar</t>
  </si>
  <si>
    <t xml:space="preserve">Sunday</t>
  </si>
  <si>
    <t xml:space="preserve">(UTC+02:00) Athens, Bucharest</t>
  </si>
  <si>
    <t xml:space="preserve">SubPlanVolumeSynchronizationMode</t>
  </si>
  <si>
    <t xml:space="preserve">ShiftPlanning</t>
  </si>
  <si>
    <t xml:space="preserve">NoneIncluded</t>
  </si>
  <si>
    <t xml:space="preserve">WaitTime</t>
  </si>
  <si>
    <t xml:space="preserve">ShockOrHeatMayDetonate</t>
  </si>
  <si>
    <t xml:space="preserve">Xml</t>
  </si>
  <si>
    <t xml:space="preserve">SplitType</t>
  </si>
  <si>
    <t xml:space="preserve">Monday</t>
  </si>
  <si>
    <t xml:space="preserve">A</t>
  </si>
  <si>
    <t xml:space="preserve">(UTC+02:00) Beirut</t>
  </si>
  <si>
    <t xml:space="preserve">BreakdownEvenlyByPeriod</t>
  </si>
  <si>
    <t xml:space="preserve">IncludeUpper</t>
  </si>
  <si>
    <t xml:space="preserve">Step</t>
  </si>
  <si>
    <t xml:space="preserve">RawMaterials</t>
  </si>
  <si>
    <t xml:space="preserve">Stable</t>
  </si>
  <si>
    <t xml:space="preserve">Assembly Type</t>
  </si>
  <si>
    <t xml:space="preserve">Capacity Validation Mode</t>
  </si>
  <si>
    <t xml:space="preserve">Tuesday</t>
  </si>
  <si>
    <t xml:space="preserve">State</t>
  </si>
  <si>
    <t xml:space="preserve">Z</t>
  </si>
  <si>
    <t xml:space="preserve">(UTC+02:00) Damascus</t>
  </si>
  <si>
    <t xml:space="preserve">SortRuleSetMaterial</t>
  </si>
  <si>
    <t xml:space="preserve">IncludeLower</t>
  </si>
  <si>
    <t xml:space="preserve">SemiFinishedProducts</t>
  </si>
  <si>
    <t xml:space="preserve">UnstableIfHeated</t>
  </si>
  <si>
    <t xml:space="preserve">KPI Frequency</t>
  </si>
  <si>
    <t xml:space="preserve">Form</t>
  </si>
  <si>
    <t xml:space="preserve">Logical</t>
  </si>
  <si>
    <t xml:space="preserve">Wednesday</t>
  </si>
  <si>
    <t xml:space="preserve">Processed</t>
  </si>
  <si>
    <t xml:space="preserve">(UTC+02:00) Harare, Pretoria</t>
  </si>
  <si>
    <t xml:space="preserve">SortRuleSetResource</t>
  </si>
  <si>
    <t xml:space="preserve">IncludeBoth</t>
  </si>
  <si>
    <t xml:space="preserve">ViolentChemicalChange</t>
  </si>
  <si>
    <t xml:space="preserve">Dispatch Schedule Type</t>
  </si>
  <si>
    <t xml:space="preserve">Physical</t>
  </si>
  <si>
    <t xml:space="preserve">Thursday</t>
  </si>
  <si>
    <t xml:space="preserve">Queued</t>
  </si>
  <si>
    <t xml:space="preserve">Source</t>
  </si>
  <si>
    <t xml:space="preserve">(UTC+02:00) Helsinki, Kyiv, Riga, Sofia, Tallinn, Vilnius</t>
  </si>
  <si>
    <t xml:space="preserve">Direction</t>
  </si>
  <si>
    <t xml:space="preserve">TaskManagement</t>
  </si>
  <si>
    <t xml:space="preserve">Explicit</t>
  </si>
  <si>
    <t xml:space="preserve">Units</t>
  </si>
  <si>
    <t xml:space="preserve">Friday</t>
  </si>
  <si>
    <t xml:space="preserve">User</t>
  </si>
  <si>
    <t xml:space="preserve">FactoryAutomation</t>
  </si>
  <si>
    <t xml:space="preserve">(UTC+02:00) Jerusalem</t>
  </si>
  <si>
    <t xml:space="preserve">Tightening</t>
  </si>
  <si>
    <t xml:space="preserve">SelectionMode</t>
  </si>
  <si>
    <t xml:space="preserve">CmfImage</t>
  </si>
  <si>
    <t xml:space="preserve">TimeConstraint</t>
  </si>
  <si>
    <t xml:space="preserve">ManualEveryUser</t>
  </si>
  <si>
    <t xml:space="preserve">Hazard Classifications - Specific</t>
  </si>
  <si>
    <t xml:space="preserve">ExplicitAdd</t>
  </si>
  <si>
    <t xml:space="preserve">SplitScope</t>
  </si>
  <si>
    <t xml:space="preserve">Saturday</t>
  </si>
  <si>
    <t xml:space="preserve">Execution</t>
  </si>
  <si>
    <t xml:space="preserve">(UTC+02:00) Cairo</t>
  </si>
  <si>
    <t xml:space="preserve">Reducing</t>
  </si>
  <si>
    <t xml:space="preserve">Flow</t>
  </si>
  <si>
    <t xml:space="preserve">BOMQuantityCalculation</t>
  </si>
  <si>
    <t xml:space="preserve">ManualSingleUser</t>
  </si>
  <si>
    <t xml:space="preserve">Acid</t>
  </si>
  <si>
    <t xml:space="preserve">ReplaceAndDisassemble</t>
  </si>
  <si>
    <t xml:space="preserve">Orientation</t>
  </si>
  <si>
    <t xml:space="preserve">ForCurrentStep</t>
  </si>
  <si>
    <t xml:space="preserve">Sample ID Material Property</t>
  </si>
  <si>
    <t xml:space="preserve">Reorder Mode</t>
  </si>
  <si>
    <t xml:space="preserve">(UTC+02:00) Chisinau</t>
  </si>
  <si>
    <t xml:space="preserve">Logical Flow Path</t>
  </si>
  <si>
    <t xml:space="preserve">Recipe</t>
  </si>
  <si>
    <t xml:space="preserve">Alkali</t>
  </si>
  <si>
    <t xml:space="preserve">ForMultipleSteps</t>
  </si>
  <si>
    <t xml:space="preserve">UsageBasedCounterType</t>
  </si>
  <si>
    <t xml:space="preserve">Name</t>
  </si>
  <si>
    <t xml:space="preserve">(UTC+02:00) Tripoli</t>
  </si>
  <si>
    <t xml:space="preserve">Int</t>
  </si>
  <si>
    <t xml:space="preserve">Service</t>
  </si>
  <si>
    <t xml:space="preserve">Corrosive</t>
  </si>
  <si>
    <t xml:space="preserve">ExplicitLongRunning</t>
  </si>
  <si>
    <t xml:space="preserve">Default Auto State Change Behavior</t>
  </si>
  <si>
    <t xml:space="preserve">Permanent</t>
  </si>
  <si>
    <t xml:space="preserve">CountExpression</t>
  </si>
  <si>
    <t xml:space="preserve">ContainerAndPosition</t>
  </si>
  <si>
    <t xml:space="preserve">(UTC+02:00) Kaliningrad</t>
  </si>
  <si>
    <t xml:space="preserve">FilterType</t>
  </si>
  <si>
    <t xml:space="preserve">NoWater</t>
  </si>
  <si>
    <t xml:space="preserve">TrackIn Check Mode</t>
  </si>
  <si>
    <t xml:space="preserve">CountOne</t>
  </si>
  <si>
    <t xml:space="preserve">ContainerPosition</t>
  </si>
  <si>
    <t xml:space="preserve">(UTC+03:00) Istanbul</t>
  </si>
  <si>
    <t xml:space="preserve">AssignmentType</t>
  </si>
  <si>
    <t xml:space="preserve">Oxidizer</t>
  </si>
  <si>
    <t xml:space="preserve">MergeState</t>
  </si>
  <si>
    <t xml:space="preserve">CountQuantityOne</t>
  </si>
  <si>
    <t xml:space="preserve">(UTC+03:00) Baghdad</t>
  </si>
  <si>
    <t xml:space="preserve">LastOccurrences</t>
  </si>
  <si>
    <t xml:space="preserve">System</t>
  </si>
  <si>
    <t xml:space="preserve">Radioactive</t>
  </si>
  <si>
    <t xml:space="preserve">PromptNo</t>
  </si>
  <si>
    <t xml:space="preserve">CountQuantityTwo</t>
  </si>
  <si>
    <t xml:space="preserve">SubMaterialIds</t>
  </si>
  <si>
    <t xml:space="preserve">AreaType</t>
  </si>
  <si>
    <t xml:space="preserve">DC Scope</t>
  </si>
  <si>
    <t xml:space="preserve">(UTC+03:00) Kuwait, Riyadh</t>
  </si>
  <si>
    <t xml:space="preserve">Queries</t>
  </si>
  <si>
    <t xml:space="preserve">Resource Capacity Mode</t>
  </si>
  <si>
    <t xml:space="preserve">Quantities</t>
  </si>
  <si>
    <t xml:space="preserve">PromptYes</t>
  </si>
  <si>
    <t xml:space="preserve">(UTC+03:00) Nairobi</t>
  </si>
  <si>
    <t xml:space="preserve">Documents</t>
  </si>
  <si>
    <t xml:space="preserve">MaterialProductGroup</t>
  </si>
  <si>
    <t xml:space="preserve">ProductBinning</t>
  </si>
  <si>
    <t xml:space="preserve">Finite</t>
  </si>
  <si>
    <t xml:space="preserve">PositionSorting</t>
  </si>
  <si>
    <t xml:space="preserve">InstancesToSchedulePattern</t>
  </si>
  <si>
    <t xml:space="preserve">LayoutType</t>
  </si>
  <si>
    <t xml:space="preserve">ProductionLine</t>
  </si>
  <si>
    <t xml:space="preserve">(UTC+03:00) Moscow, St. Petersburg, Volgograd</t>
  </si>
  <si>
    <t xml:space="preserve">FilterUnitOfTime</t>
  </si>
  <si>
    <t xml:space="preserve">Dashboards</t>
  </si>
  <si>
    <t xml:space="preserve">Bottom</t>
  </si>
  <si>
    <t xml:space="preserve">Infinite</t>
  </si>
  <si>
    <t xml:space="preserve">Track Out Losses Mode</t>
  </si>
  <si>
    <t xml:space="preserve">Task Creation State</t>
  </si>
  <si>
    <t xml:space="preserve">BodySource</t>
  </si>
  <si>
    <t xml:space="preserve">Regular</t>
  </si>
  <si>
    <t xml:space="preserve">StorageArea</t>
  </si>
  <si>
    <t xml:space="preserve">(UTC+03:30) Tehran</t>
  </si>
  <si>
    <t xml:space="preserve">fabLives</t>
  </si>
  <si>
    <t xml:space="preserve">MaterialRecipe</t>
  </si>
  <si>
    <t xml:space="preserve">Middle</t>
  </si>
  <si>
    <t xml:space="preserve">EDC_SPC</t>
  </si>
  <si>
    <t xml:space="preserve">MainProduct</t>
  </si>
  <si>
    <t xml:space="preserve">AfterAssembly</t>
  </si>
  <si>
    <t xml:space="preserve">Created</t>
  </si>
  <si>
    <t xml:space="preserve">NumberOfInstances</t>
  </si>
  <si>
    <t xml:space="preserve">Irregular</t>
  </si>
  <si>
    <t xml:space="preserve">(UTC+04:00) Abu Dhabi, Muscat</t>
  </si>
  <si>
    <t xml:space="preserve">Multimedia</t>
  </si>
  <si>
    <t xml:space="preserve">Random</t>
  </si>
  <si>
    <t xml:space="preserve">EDC_SPC_Recipe</t>
  </si>
  <si>
    <t xml:space="preserve">SubProduct</t>
  </si>
  <si>
    <t xml:space="preserve">Default Schedule View</t>
  </si>
  <si>
    <t xml:space="preserve">BeforeAssembly</t>
  </si>
  <si>
    <t xml:space="preserve">Released</t>
  </si>
  <si>
    <t xml:space="preserve">HumanEdited</t>
  </si>
  <si>
    <t xml:space="preserve">(UTC+04:00) Baku</t>
  </si>
  <si>
    <t xml:space="preserve">FlowPath</t>
  </si>
  <si>
    <t xml:space="preserve">Widgets</t>
  </si>
  <si>
    <t xml:space="preserve">Spread</t>
  </si>
  <si>
    <t xml:space="preserve">KPI</t>
  </si>
  <si>
    <t xml:space="preserve">PO System State</t>
  </si>
  <si>
    <t xml:space="preserve">EquipmentSupplier</t>
  </si>
  <si>
    <t xml:space="preserve">Notch</t>
  </si>
  <si>
    <t xml:space="preserve">TC From operation</t>
  </si>
  <si>
    <t xml:space="preserve">TC To Operation</t>
  </si>
  <si>
    <t xml:space="preserve">(UTC+04:00) Yerevan</t>
  </si>
  <si>
    <t xml:space="preserve">Top</t>
  </si>
  <si>
    <t xml:space="preserve">Weigh And Dispense Mode</t>
  </si>
  <si>
    <t xml:space="preserve">DownloadedFromEquipment</t>
  </si>
  <si>
    <t xml:space="preserve">MoveFromStep</t>
  </si>
  <si>
    <t xml:space="preserve">Assemble</t>
  </si>
  <si>
    <t xml:space="preserve">(UTC+04:00) Port Louis</t>
  </si>
  <si>
    <t xml:space="preserve">SendAheadResultsCaptureMode</t>
  </si>
  <si>
    <t xml:space="preserve">Employeee Delegates Scope</t>
  </si>
  <si>
    <t xml:space="preserve">Attach</t>
  </si>
  <si>
    <t xml:space="preserve">Left</t>
  </si>
  <si>
    <t xml:space="preserve">MoveToStep</t>
  </si>
  <si>
    <t xml:space="preserve">AttachConsumable</t>
  </si>
  <si>
    <t xml:space="preserve">(UTC+04:00) Tbilisi</t>
  </si>
  <si>
    <t xml:space="preserve">Context</t>
  </si>
  <si>
    <t xml:space="preserve">ChangeSetApproval</t>
  </si>
  <si>
    <t xml:space="preserve">Consume</t>
  </si>
  <si>
    <t xml:space="preserve">Receive</t>
  </si>
  <si>
    <t xml:space="preserve">(UTC+04:30) Kabul</t>
  </si>
  <si>
    <t xml:space="preserve">Right</t>
  </si>
  <si>
    <t xml:space="preserve">(UTC+05:00) Ashgabat, Tashkent</t>
  </si>
  <si>
    <t xml:space="preserve">Ship</t>
  </si>
  <si>
    <t xml:space="preserve">(UTC+05:00) Islamabad, Karachi</t>
  </si>
  <si>
    <t xml:space="preserve">(UTC+05:00) Ekaterinburg</t>
  </si>
  <si>
    <t xml:space="preserve">(UTC+05:30) Chennai, Kolkata, Mumbai, New Delhi</t>
  </si>
  <si>
    <t xml:space="preserve">Model</t>
  </si>
  <si>
    <t xml:space="preserve">SendAheadSplitType</t>
  </si>
  <si>
    <t xml:space="preserve">(UTC+05:30) Sri Jayawardenepura</t>
  </si>
  <si>
    <t xml:space="preserve">ResourceType</t>
  </si>
  <si>
    <t xml:space="preserve">(UTC+05:45) Kathmandu</t>
  </si>
  <si>
    <t xml:space="preserve">(UTC+06:00) Astana</t>
  </si>
  <si>
    <t xml:space="preserve">(UTC+06:00) Dhaka</t>
  </si>
  <si>
    <t xml:space="preserve">SendAheadSubMaterialsSelectionMode</t>
  </si>
  <si>
    <t xml:space="preserve">(UTC+06:30) Yangon (Rangoon)</t>
  </si>
  <si>
    <t xml:space="preserve">FutureHoldCreationMode</t>
  </si>
  <si>
    <t xml:space="preserve">(UTC+07:00) Bangkok, Hanoi, Jakarta</t>
  </si>
  <si>
    <t xml:space="preserve">(UTC+07:00) Novosibirsk</t>
  </si>
  <si>
    <t xml:space="preserve">(UTC+07:00) Krasnoyarsk</t>
  </si>
  <si>
    <t xml:space="preserve">OnFail</t>
  </si>
  <si>
    <t xml:space="preserve">(UTC+08:00) Kuala Lumpur, Singapore</t>
  </si>
  <si>
    <t xml:space="preserve">Indicator Scope</t>
  </si>
  <si>
    <t xml:space="preserve">(UTC+08:00) Beijing, Chongqing, Hong Kong, Urumqi</t>
  </si>
  <si>
    <t xml:space="preserve">Indicator 1</t>
  </si>
  <si>
    <t xml:space="preserve">(UTC+08:00) Perth</t>
  </si>
  <si>
    <t xml:space="preserve">Indicator 1 And 2</t>
  </si>
  <si>
    <t xml:space="preserve">(UTC+08:00) Taipei</t>
  </si>
  <si>
    <t xml:space="preserve">Indicator 2</t>
  </si>
  <si>
    <t xml:space="preserve">(UTC+08:00) Ulaanbaatar</t>
  </si>
  <si>
    <t xml:space="preserve">(UTC+08:00) Irkutsk</t>
  </si>
  <si>
    <t xml:space="preserve">Temporary</t>
  </si>
  <si>
    <t xml:space="preserve">Scope Type</t>
  </si>
  <si>
    <t xml:space="preserve">(UTC+09:00) Osaka, Sapporo, Tokyo</t>
  </si>
  <si>
    <t xml:space="preserve">All</t>
  </si>
  <si>
    <t xml:space="preserve">(UTC+09:00) Seoul</t>
  </si>
  <si>
    <t xml:space="preserve">(UTC+09:00) Yakutsk</t>
  </si>
  <si>
    <t xml:space="preserve">(UTC+09:30) Adelaide</t>
  </si>
  <si>
    <t xml:space="preserve">(UTC+09:30) Darwin</t>
  </si>
  <si>
    <t xml:space="preserve">(UTC+10:00) Brisbane</t>
  </si>
  <si>
    <t xml:space="preserve">(UTC+10:00) Canberra, Melbourne, Sydney</t>
  </si>
  <si>
    <t xml:space="preserve">(UTC+10:00) Guam, Port Moresby</t>
  </si>
  <si>
    <t xml:space="preserve">KPIDimensionSource</t>
  </si>
  <si>
    <t xml:space="preserve">(UTC+10:00) Hobart</t>
  </si>
  <si>
    <t xml:space="preserve">BusinessRule</t>
  </si>
  <si>
    <t xml:space="preserve">(UTC+10:00) Vladivostok</t>
  </si>
  <si>
    <t xml:space="preserve">OperationalDataStore</t>
  </si>
  <si>
    <t xml:space="preserve">SendAheadType</t>
  </si>
  <si>
    <t xml:space="preserve">(UTC+11:00) Solomon Is., New Caledonia</t>
  </si>
  <si>
    <t xml:space="preserve">DataWarehouse</t>
  </si>
  <si>
    <t xml:space="preserve">Waiting</t>
  </si>
  <si>
    <t xml:space="preserve">(UTC+11:00) Magadan</t>
  </si>
  <si>
    <t xml:space="preserve">Cubes</t>
  </si>
  <si>
    <t xml:space="preserve">SendAhead</t>
  </si>
  <si>
    <t xml:space="preserve">(UTC+12:00) Auckland, Wellington</t>
  </si>
  <si>
    <t xml:space="preserve">(UTC+12:00) Fiji</t>
  </si>
  <si>
    <t xml:space="preserve">(UTC+12:00) Coordinated Universal Time+12</t>
  </si>
  <si>
    <t xml:space="preserve">ManufacturingLevel</t>
  </si>
  <si>
    <t xml:space="preserve">(UTC+12:00) Petropavlovsk-Kamchatsky - Old</t>
  </si>
  <si>
    <t xml:space="preserve">(UTC+13:00) Nuku'alofa</t>
  </si>
  <si>
    <t xml:space="preserve">Enterprise</t>
  </si>
  <si>
    <t xml:space="preserve">(UTC+13:00) Samoa</t>
  </si>
  <si>
    <t xml:space="preserve">Site</t>
  </si>
  <si>
    <t xml:space="preserve">ParentPath</t>
  </si>
  <si>
    <t xml:space="preserve">ValueType</t>
  </si>
  <si>
    <t xml:space="preserve">AutoLockTimeOut</t>
  </si>
  <si>
    <t xml:space="preserve">DistributionList</t>
  </si>
  <si>
    <t xml:space="preserve">IsActiveDirectoryGroup</t>
  </si>
  <si>
    <t xml:space="preserve">IsScope</t>
  </si>
  <si>
    <t xml:space="preserve">ChildRoles</t>
  </si>
  <si>
    <t xml:space="preserve">FeatureGroup</t>
  </si>
  <si>
    <t xml:space="preserve">PresentationBehavior</t>
  </si>
  <si>
    <t xml:space="preserve">ForceSignature</t>
  </si>
  <si>
    <t xml:space="preserve">RequiredComment</t>
  </si>
  <si>
    <t xml:space="preserve">IsWritable</t>
  </si>
  <si>
    <t xml:space="preserve">Roles</t>
  </si>
  <si>
    <t xml:space="preserve">RoleAccessModes</t>
  </si>
  <si>
    <t xml:space="preserve">IsEnabled</t>
  </si>
  <si>
    <t xml:space="preserve">UserAccount</t>
  </si>
  <si>
    <t xml:space="preserve">Username</t>
  </si>
  <si>
    <t xml:space="preserve">EmailAddress</t>
  </si>
  <si>
    <t xml:space="preserve">PrimaryRole</t>
  </si>
  <si>
    <t xml:space="preserve">Token</t>
  </si>
  <si>
    <t xml:space="preserve">Pin</t>
  </si>
  <si>
    <t xml:space="preserve">Password</t>
  </si>
  <si>
    <t xml:space="preserve">AuthenticationStrategy</t>
  </si>
  <si>
    <t xml:space="preserve">IsIntegrationUser</t>
  </si>
  <si>
    <t xml:space="preserve">RequirePasswordChange</t>
  </si>
  <si>
    <t xml:space="preserve">Path</t>
  </si>
  <si>
    <t xml:space="preserve">LookUp Table</t>
  </si>
  <si>
    <t xml:space="preserve">Lookup Table Value Parent</t>
  </si>
  <si>
    <t xml:space="preserve">Lookup Table Value</t>
  </si>
  <si>
    <t xml:space="preserve">Lookup Table Value Description</t>
  </si>
  <si>
    <t xml:space="preserve">Lookup Table IsEnabled</t>
  </si>
  <si>
    <t xml:space="preserve">MessageType</t>
  </si>
  <si>
    <t xml:space="preserve">pt-PT</t>
  </si>
  <si>
    <t xml:space="preserve">de-DE</t>
  </si>
  <si>
    <t xml:space="preserve">en-US</t>
  </si>
  <si>
    <t xml:space="preserve">zh-CN</t>
  </si>
  <si>
    <t xml:space="preserve">zh-TW</t>
  </si>
  <si>
    <t xml:space="preserve">vi-VN</t>
  </si>
  <si>
    <t xml:space="preserve">es-ES</t>
  </si>
  <si>
    <t xml:space="preserve">pl-PL</t>
  </si>
  <si>
    <t xml:space="preserve">sv-SE</t>
  </si>
  <si>
    <t xml:space="preserve">IsRelation</t>
  </si>
  <si>
    <t xml:space="preserve">SourceEntity</t>
  </si>
  <si>
    <t xml:space="preserve">SourceAccessLevel</t>
  </si>
  <si>
    <t xml:space="preserve">TargetEntity</t>
  </si>
  <si>
    <t xml:space="preserve">TargetAccessLevel</t>
  </si>
  <si>
    <t xml:space="preserve">RelationLock</t>
  </si>
  <si>
    <t xml:space="preserve">IsVersioned</t>
  </si>
  <si>
    <t xml:space="preserve">AllowImplicitChangeSet</t>
  </si>
  <si>
    <t xml:space="preserve">ImplicitChangeSetNameGenerator</t>
  </si>
  <si>
    <t xml:space="preserve">ChangeSetDefaultRole</t>
  </si>
  <si>
    <t xml:space="preserve">AllowDeleteInstances</t>
  </si>
  <si>
    <t xml:space="preserve">IsUniqueNameRequired</t>
  </si>
  <si>
    <t xml:space="preserve">ReplicateToODS</t>
  </si>
  <si>
    <t xml:space="preserve">IsHistoryEnabled</t>
  </si>
  <si>
    <t xml:space="preserve">IsPartitioned</t>
  </si>
  <si>
    <t xml:space="preserve">IsVisible</t>
  </si>
  <si>
    <t xml:space="preserve">AllowAttributes</t>
  </si>
  <si>
    <t xml:space="preserve">AllowOperationAttributes</t>
  </si>
  <si>
    <t xml:space="preserve">ImplicitChangeSetStateModel</t>
  </si>
  <si>
    <t xml:space="preserve">AllowMultipleStateModels</t>
  </si>
  <si>
    <t xml:space="preserve">HistoryRetentionTime</t>
  </si>
  <si>
    <t xml:space="preserve">HistoryDefaultInterval</t>
  </si>
  <si>
    <t xml:space="preserve">IsCloneable</t>
  </si>
  <si>
    <t xml:space="preserve">DeleteContextonChange</t>
  </si>
  <si>
    <t xml:space="preserve">Synchronous</t>
  </si>
  <si>
    <t xml:space="preserve">ContextRetentionType</t>
  </si>
  <si>
    <t xml:space="preserve">ContextRetentionTime</t>
  </si>
  <si>
    <t xml:space="preserve">TokenName</t>
  </si>
  <si>
    <t xml:space="preserve">TokenDescription</t>
  </si>
  <si>
    <t xml:space="preserve">TokenOrder</t>
  </si>
  <si>
    <t xml:space="preserve">CalculationMethod</t>
  </si>
  <si>
    <t xml:space="preserve">TokenFormat</t>
  </si>
  <si>
    <t xml:space="preserve">TokenValue</t>
  </si>
  <si>
    <t xml:space="preserve">CalendarPath</t>
  </si>
  <si>
    <t xml:space="preserve">PropertyType</t>
  </si>
  <si>
    <t xml:space="preserve">DataGroup</t>
  </si>
  <si>
    <t xml:space="preserve">ReferenceName</t>
  </si>
  <si>
    <t xml:space="preserve">ScalarSize</t>
  </si>
  <si>
    <t xml:space="preserve">ScalarPrecision</t>
  </si>
  <si>
    <t xml:space="preserve">DefaultValue</t>
  </si>
  <si>
    <t xml:space="preserve">IsArray</t>
  </si>
  <si>
    <t xml:space="preserve">CopyOnClone</t>
  </si>
  <si>
    <t xml:space="preserve">BelongsTo</t>
  </si>
  <si>
    <t xml:space="preserve">IsIndexed</t>
  </si>
  <si>
    <t xml:space="preserve">IsMandatory</t>
  </si>
  <si>
    <t xml:space="preserve">IsReportable</t>
  </si>
  <si>
    <t xml:space="preserve">IsHistoryEnable</t>
  </si>
  <si>
    <t xml:space="preserve">ValidationRange</t>
  </si>
  <si>
    <t xml:space="preserve">ValidationRegex</t>
  </si>
  <si>
    <t xml:space="preserve">AccessLevel</t>
  </si>
  <si>
    <t xml:space="preserve">EntityTypeName</t>
  </si>
  <si>
    <t xml:space="preserve">IsInitial</t>
  </si>
  <si>
    <t xml:space="preserve">IsFinal</t>
  </si>
  <si>
    <t xml:space="preserve">FromState</t>
  </si>
  <si>
    <t xml:space="preserve">ToState</t>
  </si>
  <si>
    <t xml:space="preserve">ReasonLookupTable</t>
  </si>
  <si>
    <t xml:space="preserve">ReasonDefaultValue</t>
  </si>
  <si>
    <t xml:space="preserve">Action</t>
  </si>
  <si>
    <t xml:space="preserve">Classification</t>
  </si>
  <si>
    <t xml:space="preserve">ActionGroup</t>
  </si>
  <si>
    <t xml:space="preserve">CodeFileRelativePath</t>
  </si>
  <si>
    <t xml:space="preserve">Order</t>
  </si>
  <si>
    <t xml:space="preserve">DEERule</t>
  </si>
  <si>
    <t xml:space="preserve">Urgency</t>
  </si>
  <si>
    <t xml:space="preserve">Rank</t>
  </si>
  <si>
    <t xml:space="preserve">IsDefault</t>
  </si>
  <si>
    <t xml:space="preserve">ChangeCategory</t>
  </si>
  <si>
    <t xml:space="preserve">Owner</t>
  </si>
  <si>
    <t xml:space="preserve">ApprovalRole</t>
  </si>
  <si>
    <t xml:space="preserve">ApprovalWorkflow</t>
  </si>
  <si>
    <t xml:space="preserve">MakeEffectiveOnApproval</t>
  </si>
  <si>
    <t xml:space="preserve">SendEmailNotificationsToRequester</t>
  </si>
  <si>
    <t xml:space="preserve">SendEmailNotificationsToApprovers</t>
  </si>
  <si>
    <t xml:space="preserve">ReasonForChange</t>
  </si>
  <si>
    <t xml:space="preserve">DescriptionOfChange</t>
  </si>
  <si>
    <t xml:space="preserve">XmlFileRelativePath</t>
  </si>
  <si>
    <t xml:space="preserve">ChangeSet</t>
  </si>
  <si>
    <t xml:space="preserve">ParentFolder</t>
  </si>
  <si>
    <t xml:space="preserve">Revision</t>
  </si>
  <si>
    <t xml:space="preserve">RelativeFileLocation</t>
  </si>
  <si>
    <t xml:space="preserve">Filename</t>
  </si>
  <si>
    <t xml:space="preserve">ContentURL</t>
  </si>
  <si>
    <t xml:space="preserve">ChangeDescription</t>
  </si>
  <si>
    <t xml:space="preserve">Folder</t>
  </si>
  <si>
    <t xml:space="preserve">OwnerRole</t>
  </si>
  <si>
    <t xml:space="preserve">DocumentGroup</t>
  </si>
  <si>
    <t xml:space="preserve">Author</t>
  </si>
  <si>
    <t xml:space="preserve">CreationDate</t>
  </si>
  <si>
    <t xml:space="preserve">Keywords</t>
  </si>
  <si>
    <t xml:space="preserve">DistributionListForNewVersion</t>
  </si>
  <si>
    <t xml:space="preserve">DistributionListForNewEffectiveVersion</t>
  </si>
  <si>
    <t xml:space="preserve">RequireSignatureForReadAndUnderstand</t>
  </si>
  <si>
    <t xml:space="preserve">ReadAndUnderstandExpiration</t>
  </si>
  <si>
    <t xml:space="preserve">Document</t>
  </si>
  <si>
    <t xml:space="preserve">WI 71787</t>
  </si>
  <si>
    <t xml:space="preserve">Proficiency</t>
  </si>
  <si>
    <t xml:space="preserve">DefaultQualificationReason</t>
  </si>
  <si>
    <t xml:space="preserve">DocumentationURL</t>
  </si>
  <si>
    <t xml:space="preserve">IsSelfAssignAllowed</t>
  </si>
  <si>
    <t xml:space="preserve">IsManagerAssignAllowed</t>
  </si>
  <si>
    <t xml:space="preserve">ValidForDuration</t>
  </si>
  <si>
    <t xml:space="preserve">ValidForScale</t>
  </si>
  <si>
    <t xml:space="preserve">AllowValidityOverrides</t>
  </si>
  <si>
    <t xml:space="preserve">GracePeriodDuration</t>
  </si>
  <si>
    <t xml:space="preserve">GracePeriodScale</t>
  </si>
  <si>
    <t xml:space="preserve">NotifyChanges</t>
  </si>
  <si>
    <t xml:space="preserve">NotifyUsers</t>
  </si>
  <si>
    <t xml:space="preserve">AllowManualGrants</t>
  </si>
  <si>
    <t xml:space="preserve">IsSelfGrantAllowed</t>
  </si>
  <si>
    <t xml:space="preserve">IsManagerGrantAllowed</t>
  </si>
  <si>
    <t xml:space="preserve">DefaultIsTrainee</t>
  </si>
  <si>
    <t xml:space="preserve">TrainingMaximumDuration</t>
  </si>
  <si>
    <t xml:space="preserve">TrainingMaximumDurationScale</t>
  </si>
  <si>
    <t xml:space="preserve">Certification</t>
  </si>
  <si>
    <t xml:space="preserve">Qualification</t>
  </si>
  <si>
    <t xml:space="preserve">MinimumProficiency</t>
  </si>
  <si>
    <t xml:space="preserve">WI 50394</t>
  </si>
  <si>
    <t xml:space="preserve">TimeZone</t>
  </si>
  <si>
    <t xml:space="preserve">ShiftClockInEarlyStart</t>
  </si>
  <si>
    <t xml:space="preserve">IsReportingDimension</t>
  </si>
  <si>
    <t xml:space="preserve">WeekStartDay</t>
  </si>
  <si>
    <t xml:space="preserve">YearStartDay</t>
  </si>
  <si>
    <t xml:space="preserve">YearStartMonth</t>
  </si>
  <si>
    <t xml:space="preserve">DayStartTime</t>
  </si>
  <si>
    <t xml:space="preserve">StartsAtPreviousDay</t>
  </si>
  <si>
    <t xml:space="preserve">DefaultMondayIsWorkingDay</t>
  </si>
  <si>
    <t xml:space="preserve">DefaultTuesdayIsWorkingDay</t>
  </si>
  <si>
    <t xml:space="preserve">DefaultWednesdayIsWorkingDay</t>
  </si>
  <si>
    <t xml:space="preserve">DefaultThursdayIsWorkingDay</t>
  </si>
  <si>
    <t xml:space="preserve">DefaultFridayIsWorkingDay</t>
  </si>
  <si>
    <t xml:space="preserve">DefaultSaturdayIsWorkingDay</t>
  </si>
  <si>
    <t xml:space="preserve">DefaultSundayIsWorkingDay</t>
  </si>
  <si>
    <t xml:space="preserve">DefaultMondayShiftDefinition</t>
  </si>
  <si>
    <t xml:space="preserve">DefaultTuesdayShiftDefinition</t>
  </si>
  <si>
    <t xml:space="preserve">DefaultWednesdayShiftDefinition</t>
  </si>
  <si>
    <t xml:space="preserve">DefaultThursdayShiftDefinition</t>
  </si>
  <si>
    <t xml:space="preserve">DefaultFridayShiftDefinition</t>
  </si>
  <si>
    <t xml:space="preserve">DefaultSaturdayShiftDefinition</t>
  </si>
  <si>
    <t xml:space="preserve">DefaultSundayShiftDefinition</t>
  </si>
  <si>
    <t xml:space="preserve">DefaultMondayOvertimeFactor</t>
  </si>
  <si>
    <t xml:space="preserve">DefaultTuesdayOvertimeFactor</t>
  </si>
  <si>
    <t xml:space="preserve">DefaultWednesdayOvertimeFactor</t>
  </si>
  <si>
    <t xml:space="preserve">DefaultThursdayOvertimeFactor</t>
  </si>
  <si>
    <t xml:space="preserve">DefaultFridayOvertimeFactor</t>
  </si>
  <si>
    <t xml:space="preserve">DefaultSaturdayOvertimeFactor</t>
  </si>
  <si>
    <t xml:space="preserve">DefaultSundayOvertimeFactor</t>
  </si>
  <si>
    <t xml:space="preserve">Calendar</t>
  </si>
  <si>
    <t xml:space="preserve">Code</t>
  </si>
  <si>
    <t xml:space="preserve">StartTime</t>
  </si>
  <si>
    <t xml:space="preserve">ShiftDefinition</t>
  </si>
  <si>
    <t xml:space="preserve">ShiftNumber</t>
  </si>
  <si>
    <t xml:space="preserve">EndTime</t>
  </si>
  <si>
    <t xml:space="preserve">OvertimeCostFactor</t>
  </si>
  <si>
    <t xml:space="preserve">TeamPattern</t>
  </si>
  <si>
    <t xml:space="preserve">BackgroundColor</t>
  </si>
  <si>
    <t xml:space="preserve">ForegroundColor</t>
  </si>
  <si>
    <t xml:space="preserve">NonWorkingTimes</t>
  </si>
  <si>
    <t xml:space="preserve">FiscalYear</t>
  </si>
  <si>
    <t xml:space="preserve">FiscalQuarter</t>
  </si>
  <si>
    <t xml:space="preserve">FiscalMonth</t>
  </si>
  <si>
    <t xml:space="preserve">FiscalWeek</t>
  </si>
  <si>
    <t xml:space="preserve">Shift Definition</t>
  </si>
  <si>
    <t xml:space="preserve">Teams</t>
  </si>
  <si>
    <t xml:space="preserve">Holidays</t>
  </si>
  <si>
    <t xml:space="preserve">DefaultPlanningHorizon</t>
  </si>
  <si>
    <t xml:space="preserve">DefaultPlanningHorizonForPlanning</t>
  </si>
  <si>
    <t xml:space="preserve">DefaultFrozenPeriod</t>
  </si>
  <si>
    <t xml:space="preserve">TimeQuantum</t>
  </si>
  <si>
    <t xml:space="preserve">DefaultFastModePlanningHorizon</t>
  </si>
  <si>
    <t xml:space="preserve">HoldsProcessingMode</t>
  </si>
  <si>
    <t xml:space="preserve">UseAreaGroups</t>
  </si>
  <si>
    <t xml:space="preserve">FutureHoldsProcessingMode</t>
  </si>
  <si>
    <t xml:space="preserve">UseLocalSortingForSetups</t>
  </si>
  <si>
    <t xml:space="preserve">ScheduleDurables</t>
  </si>
  <si>
    <t xml:space="preserve">EnforceScheduledDurablesAtTrackIn</t>
  </si>
  <si>
    <t xml:space="preserve">SchedulePersonnel</t>
  </si>
  <si>
    <t xml:space="preserve">SchedulePersonnelMode</t>
  </si>
  <si>
    <t xml:space="preserve">SchedulePersonnelRestrictToArea</t>
  </si>
  <si>
    <t xml:space="preserve">EnforceScheduledPersonnelAtTrackIn</t>
  </si>
  <si>
    <t xml:space="preserve">UseZeroSetupTime</t>
  </si>
  <si>
    <t xml:space="preserve">ScheduleBatchesInRisk</t>
  </si>
  <si>
    <t xml:space="preserve">TerminateScenariosOnRelease</t>
  </si>
  <si>
    <t xml:space="preserve">Schedule</t>
  </si>
  <si>
    <t xml:space="preserve">Criteria</t>
  </si>
  <si>
    <t xml:space="preserve">Weight</t>
  </si>
  <si>
    <t xml:space="preserve">SortRule</t>
  </si>
  <si>
    <t xml:space="preserve">SortDirection</t>
  </si>
  <si>
    <t xml:space="preserve">PlanningStartDate</t>
  </si>
  <si>
    <t xml:space="preserve">PlanningHorizon</t>
  </si>
  <si>
    <t xml:space="preserve">FrozenPeriod</t>
  </si>
  <si>
    <t xml:space="preserve">IsRemote</t>
  </si>
  <si>
    <t xml:space="preserve">RemoteExportAddress</t>
  </si>
  <si>
    <t xml:space="preserve">RemoteExportTenant</t>
  </si>
  <si>
    <t xml:space="preserve">RemoteExportToken</t>
  </si>
  <si>
    <t xml:space="preserve">DisplayOrder</t>
  </si>
  <si>
    <t xml:space="preserve">DefaultCalendar</t>
  </si>
  <si>
    <t xml:space="preserve">TerminateOnShip</t>
  </si>
  <si>
    <t xml:space="preserve">Shipping Facilities</t>
  </si>
  <si>
    <t xml:space="preserve">PlantCode</t>
  </si>
  <si>
    <t xml:space="preserve">ParentArea</t>
  </si>
  <si>
    <t xml:space="preserve">DefaultTransferOrderDestinationLocation</t>
  </si>
  <si>
    <t xml:space="preserve">SchedulingAreaGroup</t>
  </si>
  <si>
    <t xml:space="preserve">CostCenter</t>
  </si>
  <si>
    <t xml:space="preserve">EnableShiftLogbook</t>
  </si>
  <si>
    <t xml:space="preserve">ShiftLogbookDistributionList</t>
  </si>
  <si>
    <t xml:space="preserve">IsExternal</t>
  </si>
  <si>
    <t xml:space="preserve">SetFlowPath</t>
  </si>
  <si>
    <t xml:space="preserve">IncomingPickingPlace</t>
  </si>
  <si>
    <t xml:space="preserve">OutgoingPickingPlace</t>
  </si>
  <si>
    <t xml:space="preserve">PickingStrategy</t>
  </si>
  <si>
    <t xml:space="preserve">PickingSequence</t>
  </si>
  <si>
    <t xml:space="preserve">SAPLocation</t>
  </si>
  <si>
    <t xml:space="preserve">ProcessingType</t>
  </si>
  <si>
    <t xml:space="preserve">ReasonType</t>
  </si>
  <si>
    <t xml:space="preserve">Category</t>
  </si>
  <si>
    <t xml:space="preserve">ExcludeFromStepYield</t>
  </si>
  <si>
    <t xml:space="preserve">ExcludeFromResourceYield</t>
  </si>
  <si>
    <t xml:space="preserve">SecurityRole</t>
  </si>
  <si>
    <t xml:space="preserve">EnableConcurrentInstances</t>
  </si>
  <si>
    <t xml:space="preserve">Severity</t>
  </si>
  <si>
    <t xml:space="preserve">SupplyArea</t>
  </si>
  <si>
    <t xml:space="preserve">TransferRequirementType</t>
  </si>
  <si>
    <t xml:space="preserve">SourceLocation</t>
  </si>
  <si>
    <t xml:space="preserve">DestinationLocation</t>
  </si>
  <si>
    <t xml:space="preserve">AutomaticApproval</t>
  </si>
  <si>
    <t xml:space="preserve">EnablePartialRelease</t>
  </si>
  <si>
    <t xml:space="preserve">AutomaticRelease</t>
  </si>
  <si>
    <t xml:space="preserve">SeparatePickListForFloorLifeMaterial</t>
  </si>
  <si>
    <t xml:space="preserve">SkipPicking</t>
  </si>
  <si>
    <t xml:space="preserve">AutomaticPicking</t>
  </si>
  <si>
    <t xml:space="preserve">EnablePartialDelivery</t>
  </si>
  <si>
    <t xml:space="preserve">AutomaticDelivery</t>
  </si>
  <si>
    <t xml:space="preserve">AutomaticConfirmation</t>
  </si>
  <si>
    <t xml:space="preserve">EmployeeNumber</t>
  </si>
  <si>
    <t xml:space="preserve">CostPerHour</t>
  </si>
  <si>
    <t xml:space="preserve">RequireClockIn</t>
  </si>
  <si>
    <t xml:space="preserve">EnableAutomaticClockIn</t>
  </si>
  <si>
    <t xml:space="preserve">AutomaticClockOutAtEndOfShift</t>
  </si>
  <si>
    <t xml:space="preserve">Manager</t>
  </si>
  <si>
    <t xml:space="preserve">ValidFrom</t>
  </si>
  <si>
    <t xml:space="preserve">ValidTo</t>
  </si>
  <si>
    <t xml:space="preserve">QualificationDate</t>
  </si>
  <si>
    <t xml:space="preserve">Reason</t>
  </si>
  <si>
    <t xml:space="preserve">Remark</t>
  </si>
  <si>
    <t xml:space="preserve">Evidence</t>
  </si>
  <si>
    <t xml:space="preserve">CertificationTargetDate</t>
  </si>
  <si>
    <t xml:space="preserve">GrantCertification</t>
  </si>
  <si>
    <t xml:space="preserve">CertificationDate</t>
  </si>
  <si>
    <t xml:space="preserve">IsTrainer</t>
  </si>
  <si>
    <t xml:space="preserve">IsTrainee</t>
  </si>
  <si>
    <t xml:space="preserve">CertificationRemark</t>
  </si>
  <si>
    <t xml:space="preserve">ExcludeFromScheduling</t>
  </si>
  <si>
    <t xml:space="preserve">DefaultSamplingCounterFrequency</t>
  </si>
  <si>
    <t xml:space="preserve">DefaultSamplingTimeFrequency</t>
  </si>
  <si>
    <t xml:space="preserve">SamplingPlan</t>
  </si>
  <si>
    <t xml:space="preserve">SamplingPatternType</t>
  </si>
  <si>
    <t xml:space="preserve">ManualSamplingSelection</t>
  </si>
  <si>
    <t xml:space="preserve">SystemSamplingSource</t>
  </si>
  <si>
    <t xml:space="preserve">SystemSamplingCount</t>
  </si>
  <si>
    <t xml:space="preserve">SystemSamplingCountIsPercentage</t>
  </si>
  <si>
    <t xml:space="preserve">SystemSamplingSelection</t>
  </si>
  <si>
    <t xml:space="preserve">SystemSamplingSequence</t>
  </si>
  <si>
    <t xml:space="preserve">IsContractor</t>
  </si>
  <si>
    <t xml:space="preserve">IsCustomer</t>
  </si>
  <si>
    <t xml:space="preserve">IsSupplier</t>
  </si>
  <si>
    <t xml:space="preserve">IsManufacturer</t>
  </si>
  <si>
    <t xml:space="preserve">LabelSpecification</t>
  </si>
  <si>
    <t xml:space="preserve">MainAddressLine1</t>
  </si>
  <si>
    <t xml:space="preserve">MainAddressLine2</t>
  </si>
  <si>
    <t xml:space="preserve">MainAddressZIPCode</t>
  </si>
  <si>
    <t xml:space="preserve">MainAddressCountry</t>
  </si>
  <si>
    <t xml:space="preserve">MainAddressState</t>
  </si>
  <si>
    <t xml:space="preserve">MainAddressCity</t>
  </si>
  <si>
    <t xml:space="preserve">ContactTitle</t>
  </si>
  <si>
    <t xml:space="preserve">ContactName</t>
  </si>
  <si>
    <t xml:space="preserve">ContactEmail</t>
  </si>
  <si>
    <t xml:space="preserve">ContactMobilePhone</t>
  </si>
  <si>
    <t xml:space="preserve">ContactBusinessPhone</t>
  </si>
  <si>
    <t xml:space="preserve">ContactBusinessFax</t>
  </si>
  <si>
    <t xml:space="preserve">TaxNumber</t>
  </si>
  <si>
    <t xml:space="preserve">Website</t>
  </si>
  <si>
    <t xml:space="preserve">AcceptanceLimit</t>
  </si>
  <si>
    <t xml:space="preserve">AcceptanceDefects</t>
  </si>
  <si>
    <t xml:space="preserve">RejectionDefects</t>
  </si>
  <si>
    <t xml:space="preserve">LimitType</t>
  </si>
  <si>
    <t xml:space="preserve">WI: 68955</t>
  </si>
  <si>
    <t xml:space="preserve">InspectionLevel</t>
  </si>
  <si>
    <t xml:space="preserve">FromLotSize</t>
  </si>
  <si>
    <t xml:space="preserve">ToLotSize</t>
  </si>
  <si>
    <t xml:space="preserve">InspectionSeverity</t>
  </si>
  <si>
    <t xml:space="preserve">IsTemplate</t>
  </si>
  <si>
    <t xml:space="preserve">StepViewSortRuleSet</t>
  </si>
  <si>
    <t xml:space="preserve">SortRuleSet</t>
  </si>
  <si>
    <t xml:space="preserve">MaterialLabel</t>
  </si>
  <si>
    <t xml:space="preserve">IsPassThrough</t>
  </si>
  <si>
    <t xml:space="preserve">SubMaterialTrackStateDepth</t>
  </si>
  <si>
    <t xml:space="preserve">DefaultLinkedDispatchAndTrackIn</t>
  </si>
  <si>
    <t xml:space="preserve">DefaultLinkedTrackOutAndMoveNext</t>
  </si>
  <si>
    <t xml:space="preserve">TrackOutLossesMode</t>
  </si>
  <si>
    <t xml:space="preserve">UseSplitAndTrackout</t>
  </si>
  <si>
    <t xml:space="preserve">SetUnits</t>
  </si>
  <si>
    <t xml:space="preserve">PrimaryUnits</t>
  </si>
  <si>
    <t xml:space="preserve">SecondaryUnits</t>
  </si>
  <si>
    <t xml:space="preserve">IsShippingAllowed</t>
  </si>
  <si>
    <t xml:space="preserve">IsMaterialTransferStep</t>
  </si>
  <si>
    <t xml:space="preserve">IsDecimalQuantityAllowed</t>
  </si>
  <si>
    <t xml:space="preserve">IsAutoSplitByProductEnabled</t>
  </si>
  <si>
    <t xml:space="preserve">IsPlanCountingStep</t>
  </si>
  <si>
    <t xml:space="preserve">MarksProductCompletion</t>
  </si>
  <si>
    <t xml:space="preserve">EnableCertificationRequirements</t>
  </si>
  <si>
    <t xml:space="preserve">EnableTimeConstraints</t>
  </si>
  <si>
    <t xml:space="preserve">RequireInstrumentsAtTrackIn</t>
  </si>
  <si>
    <t xml:space="preserve">DisassociateInstrumentsAtTrackOut</t>
  </si>
  <si>
    <t xml:space="preserve">CalculatePassYield</t>
  </si>
  <si>
    <t xml:space="preserve">SplitChecklistMode</t>
  </si>
  <si>
    <t xml:space="preserve">RequireMapLossClassifications</t>
  </si>
  <si>
    <t xml:space="preserve">DefaultFutureLogisticActionExecutionMode</t>
  </si>
  <si>
    <t xml:space="preserve">PrintMaterialLabelsAutomatically</t>
  </si>
  <si>
    <t xml:space="preserve">QueuedStorageService</t>
  </si>
  <si>
    <t xml:space="preserve">ProcessedStorageService</t>
  </si>
  <si>
    <t xml:space="preserve">Areas</t>
  </si>
  <si>
    <t xml:space="preserve">LossClassificationName1</t>
  </si>
  <si>
    <t xml:space="preserve">LossClassificationLookupTable1</t>
  </si>
  <si>
    <t xml:space="preserve">LossClassificationName2</t>
  </si>
  <si>
    <t xml:space="preserve">LossClassificationLookupTable2</t>
  </si>
  <si>
    <t xml:space="preserve">LossClassificationName3</t>
  </si>
  <si>
    <t xml:space="preserve">LossClassificationLookupTable3</t>
  </si>
  <si>
    <t xml:space="preserve">LossClassificationName4</t>
  </si>
  <si>
    <t xml:space="preserve">LossClassificationLookupTable4</t>
  </si>
  <si>
    <t xml:space="preserve">FixedCost</t>
  </si>
  <si>
    <t xml:space="preserve">CostPerUnit</t>
  </si>
  <si>
    <t xml:space="preserve">ResourceFixedCost</t>
  </si>
  <si>
    <t xml:space="preserve">ResourceCostPerUnit</t>
  </si>
  <si>
    <t xml:space="preserve">ResourceCostPerHour</t>
  </si>
  <si>
    <t xml:space="preserve">LaborCostPerHour</t>
  </si>
  <si>
    <t xml:space="preserve">IsSamplingEvaluationStep</t>
  </si>
  <si>
    <t xml:space="preserve">Maturity</t>
  </si>
  <si>
    <t xml:space="preserve">UseInStepSampling</t>
  </si>
  <si>
    <t xml:space="preserve">ResetSamplingSelectionOnAbort</t>
  </si>
  <si>
    <t xml:space="preserve">IncludeInPlanning</t>
  </si>
  <si>
    <t xml:space="preserve">IncludeInSchedule</t>
  </si>
  <si>
    <t xml:space="preserve">CanSpreadAcrossWorkingTimes</t>
  </si>
  <si>
    <t xml:space="preserve">SetupTimeTimeScale</t>
  </si>
  <si>
    <t xml:space="preserve">StepViewScheduleTimeFrame</t>
  </si>
  <si>
    <t xml:space="preserve">SchedulingInventoryType</t>
  </si>
  <si>
    <t xml:space="preserve">ResourcePreferenceStepGroup</t>
  </si>
  <si>
    <t xml:space="preserve">ProductionOrderStepSize</t>
  </si>
  <si>
    <t xml:space="preserve">EnableInspections</t>
  </si>
  <si>
    <t xml:space="preserve">DefaultInspectionSeverity</t>
  </si>
  <si>
    <t xml:space="preserve">DefaultInspectionAQLSeverity</t>
  </si>
  <si>
    <t xml:space="preserve">DefaultInspectionAQLInspectionLevel</t>
  </si>
  <si>
    <t xml:space="preserve">DefaultInspectionAQLAcceptanceLimit</t>
  </si>
  <si>
    <t xml:space="preserve">DefaultInspectionCounterFrequency</t>
  </si>
  <si>
    <t xml:space="preserve">DefaultInspectionPercentage</t>
  </si>
  <si>
    <t xml:space="preserve">DefaultInspectionFixedQuantity</t>
  </si>
  <si>
    <t xml:space="preserve">DefaultInspectionMaximumAcceptableDefectsFixed</t>
  </si>
  <si>
    <t xml:space="preserve">DefaultInspectionMaximumAcceptableDefectsPercentage</t>
  </si>
  <si>
    <t xml:space="preserve">ApplicableToRecordLoss</t>
  </si>
  <si>
    <t xml:space="preserve">ApplicableToTerminate</t>
  </si>
  <si>
    <t xml:space="preserve">ApplicableToAssemble</t>
  </si>
  <si>
    <t xml:space="preserve">LossStep</t>
  </si>
  <si>
    <t xml:space="preserve">ApplicableToRework</t>
  </si>
  <si>
    <t xml:space="preserve">ApplicableToTemporaryOffFlow</t>
  </si>
  <si>
    <t xml:space="preserve">LogicalName</t>
  </si>
  <si>
    <t xml:space="preserve">FromInspectionSeverity</t>
  </si>
  <si>
    <t xml:space="preserve">ToInspectionSeverity</t>
  </si>
  <si>
    <t xml:space="preserve">RuleParameter</t>
  </si>
  <si>
    <t xml:space="preserve">FilterTimeInterval</t>
  </si>
  <si>
    <t xml:space="preserve">FilterLastOccurrences</t>
  </si>
  <si>
    <t xml:space="preserve">ToInspectionAQLSeverity</t>
  </si>
  <si>
    <t xml:space="preserve">ToInspectionAQLInspectionLevel</t>
  </si>
  <si>
    <t xml:space="preserve">ToInspectionAQLAcceptanceLimit</t>
  </si>
  <si>
    <t xml:space="preserve">ToInspectionCounterFrequency</t>
  </si>
  <si>
    <t xml:space="preserve">ToInspectionPercentage</t>
  </si>
  <si>
    <t xml:space="preserve">ToInspectionFixedQuantity</t>
  </si>
  <si>
    <t xml:space="preserve">ToInspectionMaximumAcceptableDefectsFixed</t>
  </si>
  <si>
    <t xml:space="preserve">ToInspectionMaximumAcceptableDefectsPercentage</t>
  </si>
  <si>
    <t xml:space="preserve">InspectionAQLSeverity</t>
  </si>
  <si>
    <t xml:space="preserve">InspectionAQLInspectionLevel</t>
  </si>
  <si>
    <t xml:space="preserve">InspectionAQLAcceptanceLimit</t>
  </si>
  <si>
    <t xml:space="preserve">InspectionCounterFrequency</t>
  </si>
  <si>
    <t xml:space="preserve">InspectionPercentage</t>
  </si>
  <si>
    <t xml:space="preserve">InspectionFixedQuantity</t>
  </si>
  <si>
    <t xml:space="preserve">InspectionMaximumAcceptableDefectsFixed</t>
  </si>
  <si>
    <t xml:space="preserve">InspectionMaximumAcceptableDefectsPercentage</t>
  </si>
  <si>
    <t xml:space="preserve">Key Values</t>
  </si>
  <si>
    <t xml:space="preserve">SamplingType</t>
  </si>
  <si>
    <t xml:space="preserve">SamplingCounterFrequency</t>
  </si>
  <si>
    <t xml:space="preserve">CurrentSamplingCounter</t>
  </si>
  <si>
    <t xml:space="preserve">SamplingTimeFrequency</t>
  </si>
  <si>
    <t xml:space="preserve">LastSamplingDate</t>
  </si>
  <si>
    <t xml:space="preserve">DisplayName</t>
  </si>
  <si>
    <t xml:space="preserve">ParameterScope</t>
  </si>
  <si>
    <t xml:space="preserve">DataType</t>
  </si>
  <si>
    <t xml:space="preserve">DataFormat</t>
  </si>
  <si>
    <t xml:space="preserve">DataUnit</t>
  </si>
  <si>
    <t xml:space="preserve">DataScale</t>
  </si>
  <si>
    <t xml:space="preserve">DataNumValidationMin</t>
  </si>
  <si>
    <t xml:space="preserve">DataNumValidationMax</t>
  </si>
  <si>
    <t xml:space="preserve">DataTextValidation</t>
  </si>
  <si>
    <t xml:space="preserve">DefaultUnits</t>
  </si>
  <si>
    <t xml:space="preserve">LowerSpecLimit</t>
  </si>
  <si>
    <t xml:space="preserve">TargetSpecValue</t>
  </si>
  <si>
    <t xml:space="preserve">UpperSpecLimit</t>
  </si>
  <si>
    <t xml:space="preserve">ReportingType</t>
  </si>
  <si>
    <t xml:space="preserve">ReportingInformation</t>
  </si>
  <si>
    <t xml:space="preserve">Level</t>
  </si>
  <si>
    <t xml:space="preserve">FloorLife</t>
  </si>
  <si>
    <t xml:space="preserve">UnlimitedFloorLife</t>
  </si>
  <si>
    <t xml:space="preserve">DefaultMaterialType</t>
  </si>
  <si>
    <t xml:space="preserve">DefaultMaterialForm</t>
  </si>
  <si>
    <t xml:space="preserve">DefaultBOM</t>
  </si>
  <si>
    <t xml:space="preserve">CapacityClass</t>
  </si>
  <si>
    <t xml:space="preserve">MoistureSensitivityLevel</t>
  </si>
  <si>
    <t xml:space="preserve">IsBlocked</t>
  </si>
  <si>
    <t xml:space="preserve">IsDiscrete</t>
  </si>
  <si>
    <t xml:space="preserve">BinCodeRequired</t>
  </si>
  <si>
    <t xml:space="preserve">RequiresApproval</t>
  </si>
  <si>
    <t xml:space="preserve">MaintenanceManagementConsumeQuantity</t>
  </si>
  <si>
    <t xml:space="preserve">InitialUnitCost</t>
  </si>
  <si>
    <t xml:space="preserve">FinishedUnitCost</t>
  </si>
  <si>
    <t xml:space="preserve">CycleTime</t>
  </si>
  <si>
    <t xml:space="preserve">Yield</t>
  </si>
  <si>
    <t xml:space="preserve">MinimumMaterialSize</t>
  </si>
  <si>
    <t xml:space="preserve">MaximumMaterialSize</t>
  </si>
  <si>
    <t xml:space="preserve">UseStockInScheduling</t>
  </si>
  <si>
    <t xml:space="preserve">IsEnabledForMaterialLogistics</t>
  </si>
  <si>
    <t xml:space="preserve">CanSplitForPicking</t>
  </si>
  <si>
    <t xml:space="preserve">MaterialLogisticsDefaultRequestQuantity</t>
  </si>
  <si>
    <t xml:space="preserve">ConsumptionScrap</t>
  </si>
  <si>
    <t xml:space="preserve">AdditionalConsumptionQuantity</t>
  </si>
  <si>
    <t xml:space="preserve">MaterialTransferMode</t>
  </si>
  <si>
    <t xml:space="preserve">MaterialTransferApprovalMode</t>
  </si>
  <si>
    <t xml:space="preserve">MaterialTransferAllowedPickup</t>
  </si>
  <si>
    <t xml:space="preserve">MaterialTransferDefaultQuantity</t>
  </si>
  <si>
    <t xml:space="preserve">MaterialTransferSerializationSize</t>
  </si>
  <si>
    <t xml:space="preserve">HazardClassificationFire</t>
  </si>
  <si>
    <t xml:space="preserve">HazardClassificationHealth</t>
  </si>
  <si>
    <t xml:space="preserve">HazardClassificationInstability</t>
  </si>
  <si>
    <t xml:space="preserve">HazardClassificationSpecific</t>
  </si>
  <si>
    <t xml:space="preserve">RouteOfExposureIngestion</t>
  </si>
  <si>
    <t xml:space="preserve">RouteOfExposureInhalation</t>
  </si>
  <si>
    <t xml:space="preserve">RouteOfExposureInjection</t>
  </si>
  <si>
    <t xml:space="preserve">RouteOfExposureSkinAbsorption</t>
  </si>
  <si>
    <t xml:space="preserve">HazardBiohazardous</t>
  </si>
  <si>
    <t xml:space="preserve">HazardCompressedGas</t>
  </si>
  <si>
    <t xml:space="preserve">HazardCorrosive</t>
  </si>
  <si>
    <t xml:space="preserve">HazardExplosion</t>
  </si>
  <si>
    <t xml:space="preserve">HazardFatal</t>
  </si>
  <si>
    <t xml:space="preserve">HazardFlammableMaterial</t>
  </si>
  <si>
    <t xml:space="preserve">HazardHarmful</t>
  </si>
  <si>
    <t xml:space="preserve">HazardHarmfulToTheEnvironment</t>
  </si>
  <si>
    <t xml:space="preserve">HazardHealth</t>
  </si>
  <si>
    <t xml:space="preserve">HazardOxidizing</t>
  </si>
  <si>
    <t xml:space="preserve">ProtectionBoots</t>
  </si>
  <si>
    <t xml:space="preserve">ProtectionBreathingApparatus</t>
  </si>
  <si>
    <t xml:space="preserve">ProtectionChemicalGoggles</t>
  </si>
  <si>
    <t xml:space="preserve">ProtectionDustMask</t>
  </si>
  <si>
    <t xml:space="preserve">ProtectionFaceShield</t>
  </si>
  <si>
    <t xml:space="preserve">ProtectionGloves</t>
  </si>
  <si>
    <t xml:space="preserve">ProtectionProtectiveClothing</t>
  </si>
  <si>
    <t xml:space="preserve">ProtectionSafetyGlasses</t>
  </si>
  <si>
    <t xml:space="preserve">ProtectionSyntheticApron</t>
  </si>
  <si>
    <t xml:space="preserve">ProtectionVaporRespirator</t>
  </si>
  <si>
    <t xml:space="preserve">BusinessPartner</t>
  </si>
  <si>
    <t xml:space="preserve">PartNumber</t>
  </si>
  <si>
    <t xml:space="preserve">StandardQuantity</t>
  </si>
  <si>
    <t xml:space="preserve">Note</t>
  </si>
  <si>
    <t xml:space="preserve">BinNumber</t>
  </si>
  <si>
    <t xml:space="preserve">BinType</t>
  </si>
  <si>
    <t xml:space="preserve">BinGroup</t>
  </si>
  <si>
    <t xml:space="preserve">LossReason</t>
  </si>
  <si>
    <t xml:space="preserve">ParentPlan</t>
  </si>
  <si>
    <t xml:space="preserve">PlanGroup</t>
  </si>
  <si>
    <t xml:space="preserve">SubPlanVolumeSynchronizationRule</t>
  </si>
  <si>
    <t xml:space="preserve">Plan</t>
  </si>
  <si>
    <t xml:space="preserve">LogicalFlowPath</t>
  </si>
  <si>
    <t xml:space="preserve">Scenario</t>
  </si>
  <si>
    <t xml:space="preserve">PlannedVolume</t>
  </si>
  <si>
    <t xml:space="preserve">UseZeroInDiagonal</t>
  </si>
  <si>
    <t xml:space="preserve">SetupMatrix</t>
  </si>
  <si>
    <t xml:space="preserve">FromService</t>
  </si>
  <si>
    <t xml:space="preserve">ToService</t>
  </si>
  <si>
    <t xml:space="preserve">ChangeType</t>
  </si>
  <si>
    <t xml:space="preserve">RunningMode</t>
  </si>
  <si>
    <t xml:space="preserve">IsPreferredStorageLocation</t>
  </si>
  <si>
    <t xml:space="preserve">IsFloorLifeSafe</t>
  </si>
  <si>
    <t xml:space="preserve">HasLimitedPositions</t>
  </si>
  <si>
    <t xml:space="preserve">TotalPositions</t>
  </si>
  <si>
    <t xml:space="preserve">ReorderPoint</t>
  </si>
  <si>
    <t xml:space="preserve">ReorderQuantity</t>
  </si>
  <si>
    <t xml:space="preserve">TargetInventory</t>
  </si>
  <si>
    <t xml:space="preserve">IsNonSequentialBlock</t>
  </si>
  <si>
    <t xml:space="preserve">IsAlternate</t>
  </si>
  <si>
    <t xml:space="preserve">IsLineFlow</t>
  </si>
  <si>
    <t xml:space="preserve">ChildType</t>
  </si>
  <si>
    <t xml:space="preserve">SAPOperationCode</t>
  </si>
  <si>
    <t xml:space="preserve">Target</t>
  </si>
  <si>
    <t xml:space="preserve">IsOptional</t>
  </si>
  <si>
    <t xml:space="preserve">IsLine</t>
  </si>
  <si>
    <t xml:space="preserve">IsSkippable</t>
  </si>
  <si>
    <t xml:space="preserve">LineFlows</t>
  </si>
  <si>
    <t xml:space="preserve">CorrelationID</t>
  </si>
  <si>
    <t xml:space="preserve">MeasurementUnits</t>
  </si>
  <si>
    <t xml:space="preserve">LowerRange</t>
  </si>
  <si>
    <t xml:space="preserve">UpperRange</t>
  </si>
  <si>
    <t xml:space="preserve">RangeUnits</t>
  </si>
  <si>
    <t xml:space="preserve">Resolution</t>
  </si>
  <si>
    <t xml:space="preserve">ResolutionUnits</t>
  </si>
  <si>
    <t xml:space="preserve">Precision</t>
  </si>
  <si>
    <t xml:space="preserve">PrecisionUnits</t>
  </si>
  <si>
    <t xml:space="preserve">Accuracy</t>
  </si>
  <si>
    <t xml:space="preserve">LocationXValue</t>
  </si>
  <si>
    <t xml:space="preserve">LocationYValue</t>
  </si>
  <si>
    <t xml:space="preserve">PositionsCount</t>
  </si>
  <si>
    <t xml:space="preserve">PositionConsumableFeedType</t>
  </si>
  <si>
    <t xml:space="preserve">Vendor</t>
  </si>
  <si>
    <t xml:space="preserve">SerialNumber</t>
  </si>
  <si>
    <t xml:space="preserve">IsProductMixAllowed</t>
  </si>
  <si>
    <t xml:space="preserve">IsSubMaterialTrackingEnabled</t>
  </si>
  <si>
    <t xml:space="preserve">RestrictedToMaterialForm</t>
  </si>
  <si>
    <t xml:space="preserve">ConsumableFeedType</t>
  </si>
  <si>
    <t xml:space="preserve">DispatchMaximumMaterialResults</t>
  </si>
  <si>
    <t xml:space="preserve">MaxConcurrentMaterialsInProcess</t>
  </si>
  <si>
    <t xml:space="preserve">IsRecipeManagementEnabled</t>
  </si>
  <si>
    <t xml:space="preserve">VerifyMaterialRecipeAtTrackIn</t>
  </si>
  <si>
    <t xml:space="preserve">VerifyMaterialBOMAtTrackIn</t>
  </si>
  <si>
    <t xml:space="preserve">HasStorageBins</t>
  </si>
  <si>
    <t xml:space="preserve">IsPickingPlace</t>
  </si>
  <si>
    <t xml:space="preserve">TransportService</t>
  </si>
  <si>
    <t xml:space="preserve">StartFloorLifeCounterOnRetrieve</t>
  </si>
  <si>
    <t xml:space="preserve">EnableAutomaticReplenishment</t>
  </si>
  <si>
    <t xml:space="preserve">AutomaticReplenishmentTransferRequirementType</t>
  </si>
  <si>
    <t xml:space="preserve">LoadPortType</t>
  </si>
  <si>
    <t xml:space="preserve">PositionContainerType</t>
  </si>
  <si>
    <t xml:space="preserve">TrackPositions</t>
  </si>
  <si>
    <t xml:space="preserve">IsAutoGeneratePositionEnabled</t>
  </si>
  <si>
    <t xml:space="preserve">HasResourceLocations</t>
  </si>
  <si>
    <t xml:space="preserve">LocationType</t>
  </si>
  <si>
    <t xml:space="preserve">StorageDimensions</t>
  </si>
  <si>
    <t xml:space="preserve">StoragePositionAddressFormat</t>
  </si>
  <si>
    <t xml:space="preserve">DimensionXSize</t>
  </si>
  <si>
    <t xml:space="preserve">DimensionXAddressFormat</t>
  </si>
  <si>
    <t xml:space="preserve">DimensionXOrientation</t>
  </si>
  <si>
    <t xml:space="preserve">DimensionYSize</t>
  </si>
  <si>
    <t xml:space="preserve">DimensionYAddressFormat</t>
  </si>
  <si>
    <t xml:space="preserve">DimensionYOrientation</t>
  </si>
  <si>
    <t xml:space="preserve">DimensionZSize</t>
  </si>
  <si>
    <t xml:space="preserve">DimensionZAddressFormat</t>
  </si>
  <si>
    <t xml:space="preserve">DimensionZOrientation</t>
  </si>
  <si>
    <t xml:space="preserve">Dimension0Size</t>
  </si>
  <si>
    <t xml:space="preserve">Dimension0AddressFormat</t>
  </si>
  <si>
    <t xml:space="preserve">Dimension0Orientation</t>
  </si>
  <si>
    <t xml:space="preserve">DurablePositions</t>
  </si>
  <si>
    <t xml:space="preserve">ContainsDurableLibrary</t>
  </si>
  <si>
    <t xml:space="preserve">ConsumableFeedPositions</t>
  </si>
  <si>
    <t xml:space="preserve">EnableConsumableFeedContainerDock</t>
  </si>
  <si>
    <t xml:space="preserve">InstrumentType</t>
  </si>
  <si>
    <t xml:space="preserve">CalibrationStatus</t>
  </si>
  <si>
    <t xml:space="preserve">LastCalibrationDate</t>
  </si>
  <si>
    <t xml:space="preserve">InstrumentExclusiveUsage</t>
  </si>
  <si>
    <t xml:space="preserve">EnableRequestMAOOnChangeState</t>
  </si>
  <si>
    <t xml:space="preserve">ResourceGroup</t>
  </si>
  <si>
    <t xml:space="preserve">PropagateUp</t>
  </si>
  <si>
    <t xml:space="preserve">ValidateDown</t>
  </si>
  <si>
    <t xml:space="preserve">AutomationMode</t>
  </si>
  <si>
    <t xml:space="preserve">AutomationAddress</t>
  </si>
  <si>
    <t xml:space="preserve">IsJobManagementCapable</t>
  </si>
  <si>
    <t xml:space="preserve">IsDownloadRecipeCapable</t>
  </si>
  <si>
    <t xml:space="preserve">IsUploadRecipeCapable</t>
  </si>
  <si>
    <t xml:space="preserve">IsNotifyRecipeSelectionChangeCapable</t>
  </si>
  <si>
    <t xml:space="preserve">Location</t>
  </si>
  <si>
    <t xml:space="preserve">CanProcessInNonWorkingTime</t>
  </si>
  <si>
    <t xml:space="preserve">MinimumBatchCapacityUsage</t>
  </si>
  <si>
    <t xml:space="preserve">Saturation</t>
  </si>
  <si>
    <t xml:space="preserve">DefaultSetupTime</t>
  </si>
  <si>
    <t xml:space="preserve">DefaultSetupTimeTimeScale</t>
  </si>
  <si>
    <t xml:space="preserve">ScheduleTrackInTolerance</t>
  </si>
  <si>
    <t xml:space="preserve">SetResourceAsPreferred</t>
  </si>
  <si>
    <t xml:space="preserve">ResourceCapacityMode</t>
  </si>
  <si>
    <t xml:space="preserve">ScheduleAvailabilityDate</t>
  </si>
  <si>
    <t xml:space="preserve">Efficiency</t>
  </si>
  <si>
    <t xml:space="preserve">UseTimelineInDefaultScheduleView</t>
  </si>
  <si>
    <t xml:space="preserve">ResourceViewScheduleTimeFrame</t>
  </si>
  <si>
    <t xml:space="preserve">EnableCheckIn</t>
  </si>
  <si>
    <t xml:space="preserve">RestrictCheckIn</t>
  </si>
  <si>
    <t xml:space="preserve">EnforceResourcePersonnelRequirementsAtTrackIn</t>
  </si>
  <si>
    <t xml:space="preserve">AutomaticCheckOutAtEndOfShift</t>
  </si>
  <si>
    <t xml:space="preserve">RequireCheckInForMaterialOperations</t>
  </si>
  <si>
    <t xml:space="preserve">RequireCheckInForResourceOperations</t>
  </si>
  <si>
    <t xml:space="preserve">AllowEmployeeCheckOutOnCheckIn</t>
  </si>
  <si>
    <t xml:space="preserve">LogCheckInActivity</t>
  </si>
  <si>
    <t xml:space="preserve">AllowMESControl</t>
  </si>
  <si>
    <t xml:space="preserve">IsIoTControlled</t>
  </si>
  <si>
    <t xml:space="preserve">IoTTagAlias</t>
  </si>
  <si>
    <t xml:space="preserve">ConsumableFeedNamedPosition</t>
  </si>
  <si>
    <t xml:space="preserve">ConsumableFeedPosition</t>
  </si>
  <si>
    <t xml:space="preserve">Allocation</t>
  </si>
  <si>
    <t xml:space="preserve">AllocationType</t>
  </si>
  <si>
    <t xml:space="preserve">Exclusive</t>
  </si>
  <si>
    <t xml:space="preserve">IsWorkingDay</t>
  </si>
  <si>
    <t xml:space="preserve">IsSystem</t>
  </si>
  <si>
    <t xml:space="preserve">ShiftPlan</t>
  </si>
  <si>
    <t xml:space="preserve">Resources</t>
  </si>
  <si>
    <t xml:space="preserve">PersonnelRequirements</t>
  </si>
  <si>
    <t xml:space="preserve">Team</t>
  </si>
  <si>
    <t xml:space="preserve">Workgroup</t>
  </si>
  <si>
    <t xml:space="preserve">SourceType</t>
  </si>
  <si>
    <t xml:space="preserve">DefaultCloseToTargetMinimumValue</t>
  </si>
  <si>
    <t xml:space="preserve">DefaultInTargetMinimumValue</t>
  </si>
  <si>
    <t xml:space="preserve">DefaultTargetValue</t>
  </si>
  <si>
    <t xml:space="preserve">DefaultInTargetMaximumValue</t>
  </si>
  <si>
    <t xml:space="preserve">DefaultCloseToTargetMaximumValue</t>
  </si>
  <si>
    <t xml:space="preserve">FromDate</t>
  </si>
  <si>
    <t xml:space="preserve">ToDate</t>
  </si>
  <si>
    <t xml:space="preserve">CloseToTargetMinimumValue</t>
  </si>
  <si>
    <t xml:space="preserve">InTargetMinimumValue</t>
  </si>
  <si>
    <t xml:space="preserve">TargetValue</t>
  </si>
  <si>
    <t xml:space="preserve">InTargetMaximumValue</t>
  </si>
  <si>
    <t xml:space="preserve">CloseToTargetMaximumValue</t>
  </si>
  <si>
    <t xml:space="preserve">ActualValue</t>
  </si>
  <si>
    <t xml:space="preserve">Date Calculation</t>
  </si>
  <si>
    <t xml:space="preserve">SPCPostMode</t>
  </si>
  <si>
    <t xml:space="preserve">DataCollection</t>
  </si>
  <si>
    <t xml:space="preserve">IsReference</t>
  </si>
  <si>
    <t xml:space="preserve">DataCollectionParameterGroup</t>
  </si>
  <si>
    <t xml:space="preserve">AQLInspectionLevel</t>
  </si>
  <si>
    <t xml:space="preserve">AQLSeverity</t>
  </si>
  <si>
    <t xml:space="preserve">AQLAcceptanceLimit</t>
  </si>
  <si>
    <t xml:space="preserve">CounterFrequency</t>
  </si>
  <si>
    <t xml:space="preserve">MaximumAcceptableDefectsFixed</t>
  </si>
  <si>
    <t xml:space="preserve">MaximumAcceptableDefectsPercentage</t>
  </si>
  <si>
    <t xml:space="preserve">FixedSampleSize</t>
  </si>
  <si>
    <t xml:space="preserve">SampleKey</t>
  </si>
  <si>
    <t xml:space="preserve">UseFirstPieceMeasurementStrategy</t>
  </si>
  <si>
    <t xml:space="preserve">MeasureLastPiece</t>
  </si>
  <si>
    <t xml:space="preserve">TestAllSinceLastPass</t>
  </si>
  <si>
    <t xml:space="preserve">TestAllOnFail</t>
  </si>
  <si>
    <t xml:space="preserve">MaterialIdSampleProperty</t>
  </si>
  <si>
    <t xml:space="preserve">SampleKeySource</t>
  </si>
  <si>
    <t xml:space="preserve">MinimumSamples</t>
  </si>
  <si>
    <t xml:space="preserve">MaximumSamples</t>
  </si>
  <si>
    <t xml:space="preserve">SampleCountPercentage</t>
  </si>
  <si>
    <t xml:space="preserve">SampleCountPercentageSource</t>
  </si>
  <si>
    <t xml:space="preserve">MinimumSampleReadings</t>
  </si>
  <si>
    <t xml:space="preserve">MaximumSampleReadings</t>
  </si>
  <si>
    <t xml:space="preserve">CalculationGroupingMode</t>
  </si>
  <si>
    <t xml:space="preserve">LimitCheckingMode</t>
  </si>
  <si>
    <t xml:space="preserve">WarningLimitViolationProtocol</t>
  </si>
  <si>
    <t xml:space="preserve">ErrorLimitViolationProtocol</t>
  </si>
  <si>
    <t xml:space="preserve">Instruction</t>
  </si>
  <si>
    <t xml:space="preserve">SampleNamesList</t>
  </si>
  <si>
    <t xml:space="preserve">ReadingNamesList</t>
  </si>
  <si>
    <t xml:space="preserve">DataCollectionLimitSet</t>
  </si>
  <si>
    <t xml:space="preserve">Sample Limits</t>
  </si>
  <si>
    <t xml:space="preserve">IndicatorScope</t>
  </si>
  <si>
    <t xml:space="preserve">ScopeType</t>
  </si>
  <si>
    <t xml:space="preserve">ChartType</t>
  </si>
  <si>
    <t xml:space="preserve">SampleReadingsSource</t>
  </si>
  <si>
    <t xml:space="preserve">TerminateLogicalChartsOnZeroDataPoints</t>
  </si>
  <si>
    <t xml:space="preserve">MinimumSampleSize</t>
  </si>
  <si>
    <t xml:space="preserve">MaximumSampleSize</t>
  </si>
  <si>
    <t xml:space="preserve">AutoCalculateControlLimitIndicators</t>
  </si>
  <si>
    <t xml:space="preserve">AutoCalculateControlLimitIndicatorsWindowSize</t>
  </si>
  <si>
    <t xml:space="preserve">ControlLimitIndicatorsCalculationDataPointSize</t>
  </si>
  <si>
    <t xml:space="preserve">UseLearningMode</t>
  </si>
  <si>
    <t xml:space="preserve">DisableAutoCalculateControlLimitsAfterLearning</t>
  </si>
  <si>
    <t xml:space="preserve">DataPointsRetentionTime</t>
  </si>
  <si>
    <t xml:space="preserve">DataPointsRetentionSize</t>
  </si>
  <si>
    <t xml:space="preserve">SpecLimitsDefinitionMode</t>
  </si>
  <si>
    <t xml:space="preserve">DefaultUpperSpecLimit</t>
  </si>
  <si>
    <t xml:space="preserve">DefaultTargetSpecValue</t>
  </si>
  <si>
    <t xml:space="preserve">DefaultLowerSpecLimit</t>
  </si>
  <si>
    <t xml:space="preserve">UseAutomaticControlLimits</t>
  </si>
  <si>
    <t xml:space="preserve">DefaultUpperControlLimit1</t>
  </si>
  <si>
    <t xml:space="preserve">DefaultCenterLine1</t>
  </si>
  <si>
    <t xml:space="preserve">DefaultLowerControlLimit1</t>
  </si>
  <si>
    <t xml:space="preserve">DefaultUpperControlLimit2</t>
  </si>
  <si>
    <t xml:space="preserve">DefaultCenterLine2</t>
  </si>
  <si>
    <t xml:space="preserve">DefaultLowerControlLimit2</t>
  </si>
  <si>
    <t xml:space="preserve">DefaultStandardDeviation</t>
  </si>
  <si>
    <t xml:space="preserve">DefaultNumberOfDataPointsToDisplay</t>
  </si>
  <si>
    <t xml:space="preserve">DisplayDefaultFromDate</t>
  </si>
  <si>
    <t xml:space="preserve">DisplayDefaultToDate</t>
  </si>
  <si>
    <t xml:space="preserve">ShowHistogramByDefault</t>
  </si>
  <si>
    <t xml:space="preserve">ShowSpecLimitsByDefault</t>
  </si>
  <si>
    <t xml:space="preserve">ShowSparkline</t>
  </si>
  <si>
    <t xml:space="preserve">ShowTimestamp</t>
  </si>
  <si>
    <t xml:space="preserve">ShowSampleId</t>
  </si>
  <si>
    <t xml:space="preserve">DefaultNumberOfHistogramIntervals</t>
  </si>
  <si>
    <t xml:space="preserve">YAxisMajorUnits</t>
  </si>
  <si>
    <t xml:space="preserve">YAxisMinValue</t>
  </si>
  <si>
    <t xml:space="preserve">YAxisMaxValue</t>
  </si>
  <si>
    <t xml:space="preserve">GeneralAnnotationCodeSource</t>
  </si>
  <si>
    <t xml:space="preserve">ViolationAnnotationCodeSource</t>
  </si>
  <si>
    <t xml:space="preserve">AllowUserTriggeredProtocols</t>
  </si>
  <si>
    <t xml:space="preserve">ContextKeys</t>
  </si>
  <si>
    <t xml:space="preserve">InLearningMode</t>
  </si>
  <si>
    <t xml:space="preserve">UpperControlLimit1</t>
  </si>
  <si>
    <t xml:space="preserve">CenterLine1</t>
  </si>
  <si>
    <t xml:space="preserve">LowerControlLimit1</t>
  </si>
  <si>
    <t xml:space="preserve">UpperControlLimit2</t>
  </si>
  <si>
    <t xml:space="preserve">CenterLine2</t>
  </si>
  <si>
    <t xml:space="preserve">LowerControlLimit2</t>
  </si>
  <si>
    <t xml:space="preserve">NumberOfHistogramIntervals</t>
  </si>
  <si>
    <t xml:space="preserve">DrawingFile</t>
  </si>
  <si>
    <t xml:space="preserve">FormulaType</t>
  </si>
  <si>
    <t xml:space="preserve">BOM</t>
  </si>
  <si>
    <t xml:space="preserve">SourceProduct</t>
  </si>
  <si>
    <t xml:space="preserve">BinCode</t>
  </si>
  <si>
    <t xml:space="preserve">LowerTolerance</t>
  </si>
  <si>
    <t xml:space="preserve">UpperTolerance</t>
  </si>
  <si>
    <t xml:space="preserve">NamedPosition</t>
  </si>
  <si>
    <t xml:space="preserve">AssemblyStep</t>
  </si>
  <si>
    <t xml:space="preserve">AssemblyLogicalFlowPath</t>
  </si>
  <si>
    <t xml:space="preserve">RequiredInstrumentType</t>
  </si>
  <si>
    <t xml:space="preserve">QuantityCalculationRule</t>
  </si>
  <si>
    <t xml:space="preserve">AssemblyType</t>
  </si>
  <si>
    <t xml:space="preserve">TrackInCheckMode</t>
  </si>
  <si>
    <t xml:space="preserve">WeighAndDispenseMode</t>
  </si>
  <si>
    <t xml:space="preserve">ExecutionMode</t>
  </si>
  <si>
    <t xml:space="preserve">Checklist</t>
  </si>
  <si>
    <t xml:space="preserve">Group</t>
  </si>
  <si>
    <t xml:space="preserve">ActivityType</t>
  </si>
  <si>
    <t xml:space="preserve">TrackingType</t>
  </si>
  <si>
    <t xml:space="preserve">IsFloating</t>
  </si>
  <si>
    <t xml:space="preserve">DiagramFile</t>
  </si>
  <si>
    <t xml:space="preserve">DiagramFileAnnotation</t>
  </si>
  <si>
    <t xml:space="preserve">ItemName</t>
  </si>
  <si>
    <t xml:space="preserve">SourceObject</t>
  </si>
  <si>
    <t xml:space="preserve">DateTimePickerMode</t>
  </si>
  <si>
    <t xml:space="preserve">LowerRangeValue</t>
  </si>
  <si>
    <t xml:space="preserve">UpperRangeValue</t>
  </si>
  <si>
    <t xml:space="preserve">RangeType</t>
  </si>
  <si>
    <t xml:space="preserve">Format</t>
  </si>
  <si>
    <t xml:space="preserve">FromSample</t>
  </si>
  <si>
    <t xml:space="preserve">ToSample</t>
  </si>
  <si>
    <t xml:space="preserve">SignatureText</t>
  </si>
  <si>
    <t xml:space="preserve">SignatureRole</t>
  </si>
  <si>
    <t xml:space="preserve">SignatureCertification</t>
  </si>
  <si>
    <t xml:space="preserve">SignatureAllowSelf</t>
  </si>
  <si>
    <t xml:space="preserve">DefaultOwner</t>
  </si>
  <si>
    <t xml:space="preserve">RootCauseSource</t>
  </si>
  <si>
    <t xml:space="preserve">DisableOverride</t>
  </si>
  <si>
    <t xml:space="preserve">AllowProtocolStateRoleOverride</t>
  </si>
  <si>
    <t xml:space="preserve">DefaultInhibitMoveFromStep</t>
  </si>
  <si>
    <t xml:space="preserve">DefaultInhibitShip</t>
  </si>
  <si>
    <t xml:space="preserve">RemoveTerminatedMaterials</t>
  </si>
  <si>
    <t xml:space="preserve">TerminateOnZeroMaterials</t>
  </si>
  <si>
    <t xml:space="preserve">DefaultAutoStateChangeBehavior</t>
  </si>
  <si>
    <t xml:space="preserve">SendEmailNotifications</t>
  </si>
  <si>
    <t xml:space="preserve">AllowDispositionFullRecordLoss</t>
  </si>
  <si>
    <t xml:space="preserve">AllowDispositionRework</t>
  </si>
  <si>
    <t xml:space="preserve">AllowDispositionTemporaryOffFlow</t>
  </si>
  <si>
    <t xml:space="preserve">Protocol</t>
  </si>
  <si>
    <t xml:space="preserve">AutoStateChangeBehavior</t>
  </si>
  <si>
    <t xml:space="preserve">AllowTaskCreation</t>
  </si>
  <si>
    <t xml:space="preserve">TaskCreationState</t>
  </si>
  <si>
    <t xml:space="preserve">AllowTaskRelease</t>
  </si>
  <si>
    <t xml:space="preserve">AllowDispositionDecision</t>
  </si>
  <si>
    <t xml:space="preserve">DispositionMode</t>
  </si>
  <si>
    <t xml:space="preserve">DispositionRequiresApproval</t>
  </si>
  <si>
    <t xml:space="preserve">InspectionResultsRequiredBeforeTrackOut</t>
  </si>
  <si>
    <t xml:space="preserve">EnableMultipleSamples</t>
  </si>
  <si>
    <t xml:space="preserve">HasSeparateInspectionSteps</t>
  </si>
  <si>
    <t xml:space="preserve">CloseAutomaticallyOnPass</t>
  </si>
  <si>
    <t xml:space="preserve">CloseAutomaticallyOnFail</t>
  </si>
  <si>
    <t xml:space="preserve">OpenProtocolOnFail</t>
  </si>
  <si>
    <t xml:space="preserve">SetHoldOnFail</t>
  </si>
  <si>
    <t xml:space="preserve">FutureHoldStep</t>
  </si>
  <si>
    <t xml:space="preserve">FutureHoldReason</t>
  </si>
  <si>
    <t xml:space="preserve">FutureHoldReleaseRole</t>
  </si>
  <si>
    <t xml:space="preserve">FutureHoldReleaseCode</t>
  </si>
  <si>
    <t xml:space="preserve">FutureHoldComment</t>
  </si>
  <si>
    <t xml:space="preserve">FutureHoldDistributionList</t>
  </si>
  <si>
    <t xml:space="preserve">HoldReason</t>
  </si>
  <si>
    <t xml:space="preserve">HoldReleaseRole</t>
  </si>
  <si>
    <t xml:space="preserve">HoldReleaseCode</t>
  </si>
  <si>
    <t xml:space="preserve">HoldComment</t>
  </si>
  <si>
    <t xml:space="preserve">InspectionPlan</t>
  </si>
  <si>
    <t xml:space="preserve">IsProcessIntegratedInspection</t>
  </si>
  <si>
    <t xml:space="preserve">InspectionFlow</t>
  </si>
  <si>
    <t xml:space="preserve">InspectionStep</t>
  </si>
  <si>
    <t xml:space="preserve">SplitStep</t>
  </si>
  <si>
    <t xml:space="preserve">ScrapMaterialSample</t>
  </si>
  <si>
    <t xml:space="preserve">ScrapReason</t>
  </si>
  <si>
    <t xml:space="preserve">IsInProcessInspection</t>
  </si>
  <si>
    <t xml:space="preserve">IsExecutable</t>
  </si>
  <si>
    <t xml:space="preserve">ResourceRecipeName</t>
  </si>
  <si>
    <t xml:space="preserve">UserInfo</t>
  </si>
  <si>
    <t xml:space="preserve">SupplierInfo</t>
  </si>
  <si>
    <t xml:space="preserve">BodyFormat</t>
  </si>
  <si>
    <t xml:space="preserve">BodyFileName</t>
  </si>
  <si>
    <t xml:space="preserve">Body</t>
  </si>
  <si>
    <t xml:space="preserve">BodyDownloadFrom</t>
  </si>
  <si>
    <t xml:space="preserve">BodyDownloadFromResourceRecipe</t>
  </si>
  <si>
    <t xml:space="preserve">ParameterGroup</t>
  </si>
  <si>
    <t xml:space="preserve">IsOverridable</t>
  </si>
  <si>
    <t xml:space="preserve">SubRecipe</t>
  </si>
  <si>
    <t xml:space="preserve">SubRecipeDisplayName</t>
  </si>
  <si>
    <t xml:space="preserve">MaintenancePlan</t>
  </si>
  <si>
    <t xml:space="preserve">ExpectedDuration</t>
  </si>
  <si>
    <t xml:space="preserve">RequestRole</t>
  </si>
  <si>
    <t xml:space="preserve">IgnoreInScheduling</t>
  </si>
  <si>
    <t xml:space="preserve">AutoDisableAfterLateDue</t>
  </si>
  <si>
    <t xml:space="preserve">TimeDue</t>
  </si>
  <si>
    <t xml:space="preserve">TimeDueOnDayOfMonth</t>
  </si>
  <si>
    <t xml:space="preserve">TimeDueOnHour</t>
  </si>
  <si>
    <t xml:space="preserve">TimeDueOnMinutes</t>
  </si>
  <si>
    <t xml:space="preserve">TimeEarlyDue</t>
  </si>
  <si>
    <t xml:space="preserve">TimeLateDue</t>
  </si>
  <si>
    <t xml:space="preserve">NumberOfInstancesToSchedule</t>
  </si>
  <si>
    <t xml:space="preserve">InstancesToScheduleDurationScale</t>
  </si>
  <si>
    <t xml:space="preserve">InstancesToScheduleDuration</t>
  </si>
  <si>
    <t xml:space="preserve">UsageBasedCounterMode</t>
  </si>
  <si>
    <t xml:space="preserve">UsageBasedCounterInitialValue</t>
  </si>
  <si>
    <t xml:space="preserve">UsageEarlyDue</t>
  </si>
  <si>
    <t xml:space="preserve">UsageDue</t>
  </si>
  <si>
    <t xml:space="preserve">UsageLateDue</t>
  </si>
  <si>
    <t xml:space="preserve">UsageBasedExpression</t>
  </si>
  <si>
    <t xml:space="preserve">UsageBasedEvent</t>
  </si>
  <si>
    <t xml:space="preserve">ReworkChecklist</t>
  </si>
  <si>
    <t xml:space="preserve">ReworkDataCollection</t>
  </si>
  <si>
    <t xml:space="preserve">ReworkDataCollectionLimitSet</t>
  </si>
  <si>
    <t xml:space="preserve">RestrictPartsToList</t>
  </si>
  <si>
    <t xml:space="preserve">EnforcePersonnelRequirementsAtPerform</t>
  </si>
  <si>
    <t xml:space="preserve">AutomaticCheckInOnBegin</t>
  </si>
  <si>
    <t xml:space="preserve">RequireCheckInForPerform</t>
  </si>
  <si>
    <t xml:space="preserve">EnableManualLaborHoursReporting</t>
  </si>
  <si>
    <t xml:space="preserve">ActivityName</t>
  </si>
  <si>
    <t xml:space="preserve">DisplayMode</t>
  </si>
  <si>
    <t xml:space="preserve">WI 75842</t>
  </si>
  <si>
    <t xml:space="preserve">Activity</t>
  </si>
  <si>
    <t xml:space="preserve">ActivityToInclude</t>
  </si>
  <si>
    <t xml:space="preserve">JoinAutomatically</t>
  </si>
  <si>
    <t xml:space="preserve">WI 40046</t>
  </si>
  <si>
    <t xml:space="preserve">ReferredEntityInstance</t>
  </si>
  <si>
    <t xml:space="preserve">BaseDate</t>
  </si>
  <si>
    <t xml:space="preserve">UsageCounter</t>
  </si>
  <si>
    <t xml:space="preserve">MaintenanceActivityOrder</t>
  </si>
  <si>
    <t xml:space="preserve">UsageBasedDue</t>
  </si>
  <si>
    <t xml:space="preserve">UsageBasedEarlyDue</t>
  </si>
  <si>
    <t xml:space="preserve">UsageBasedLateDue</t>
  </si>
  <si>
    <t xml:space="preserve">TimeBasedDue</t>
  </si>
  <si>
    <t xml:space="preserve">TimeBasedEarlyDue</t>
  </si>
  <si>
    <t xml:space="preserve">TimeBasedLateDue</t>
  </si>
  <si>
    <t xml:space="preserve">ScheduledDate</t>
  </si>
  <si>
    <t xml:space="preserve">IsKey</t>
  </si>
  <si>
    <t xml:space="preserve">Size</t>
  </si>
  <si>
    <t xml:space="preserve">Element</t>
  </si>
  <si>
    <t xml:space="preserve">MainForm</t>
  </si>
  <si>
    <t xml:space="preserve">SubForm</t>
  </si>
  <si>
    <t xml:space="preserve">DefaultDeliveryTime</t>
  </si>
  <si>
    <t xml:space="preserve">ProductName</t>
  </si>
  <si>
    <t xml:space="preserve">FromUnit</t>
  </si>
  <si>
    <t xml:space="preserve">ToUnit</t>
  </si>
  <si>
    <t xml:space="preserve">ConversionFactor</t>
  </si>
  <si>
    <t xml:space="preserve">IsRepeatedValuesAllowed</t>
  </si>
  <si>
    <t xml:space="preserve">HasChangeControl</t>
  </si>
  <si>
    <t xml:space="preserve">PreValidationRule</t>
  </si>
  <si>
    <t xml:space="preserve">PostValidationRule</t>
  </si>
  <si>
    <t xml:space="preserve">PrecedenceKey1</t>
  </si>
  <si>
    <t xml:space="preserve">PrecedenceKey2</t>
  </si>
  <si>
    <t xml:space="preserve">PrecedenceKey3</t>
  </si>
  <si>
    <t xml:space="preserve">PrecedenceKey4</t>
  </si>
  <si>
    <t xml:space="preserve">PrecedenceKey5</t>
  </si>
  <si>
    <t xml:space="preserve">PrecedenceKey6</t>
  </si>
  <si>
    <t xml:space="preserve">ResolutionType</t>
  </si>
  <si>
    <t xml:space="preserve">ResolveSmartTableName</t>
  </si>
  <si>
    <t xml:space="preserve">Key</t>
  </si>
  <si>
    <t xml:space="preserve">ResourceProcessingType</t>
  </si>
  <si>
    <t xml:space="preserve">PrintableDocument</t>
  </si>
  <si>
    <t xml:space="preserve">EntityTypeType</t>
  </si>
  <si>
    <t xml:space="preserve">FromSystem</t>
  </si>
  <si>
    <t xml:space="preserve">ToSystem</t>
  </si>
  <si>
    <t xml:space="preserve">HandlerType</t>
  </si>
  <si>
    <t xml:space="preserve">ActionName</t>
  </si>
  <si>
    <t xml:space="preserve">ErrorHandlingActionName</t>
  </si>
  <si>
    <t xml:space="preserve">Identifier</t>
  </si>
  <si>
    <t xml:space="preserve">Layout</t>
  </si>
  <si>
    <t xml:space="preserve">MapDefinition</t>
  </si>
  <si>
    <t xml:space="preserve">Operation</t>
  </si>
  <si>
    <t xml:space="preserve">DataCollectionType</t>
  </si>
  <si>
    <t xml:space="preserve">NameGeneratorName</t>
  </si>
  <si>
    <t xml:space="preserve">RevisionGeneratorName</t>
  </si>
  <si>
    <t xml:space="preserve">PrinterType</t>
  </si>
  <si>
    <t xml:space="preserve">UserName</t>
  </si>
  <si>
    <t xml:space="preserve">ComputerName</t>
  </si>
  <si>
    <t xml:space="preserve">PrinterName</t>
  </si>
  <si>
    <t xml:space="preserve">Capacity</t>
  </si>
  <si>
    <t xml:space="preserve">StateTransition</t>
  </si>
  <si>
    <t xml:space="preserve">TimePerUnit</t>
  </si>
  <si>
    <t xml:space="preserve">CycleTimeScale</t>
  </si>
  <si>
    <t xml:space="preserve">FixedCycleTime</t>
  </si>
  <si>
    <t xml:space="preserve">VariableCycleTime</t>
  </si>
  <si>
    <t xml:space="preserve">TransferMaterialSize</t>
  </si>
  <si>
    <t xml:space="preserve">LineFlow</t>
  </si>
  <si>
    <t xml:space="preserve">LineValidationMode</t>
  </si>
  <si>
    <t xml:space="preserve">LineAssemblyMode</t>
  </si>
  <si>
    <t xml:space="preserve">SamplingPattern</t>
  </si>
  <si>
    <t xml:space="preserve">DefaultQuantity</t>
  </si>
  <si>
    <t xml:space="preserve">EnableQuantityOverride</t>
  </si>
  <si>
    <t xml:space="preserve">FromStep</t>
  </si>
  <si>
    <t xml:space="preserve">FromLogicalFlowPath</t>
  </si>
  <si>
    <t xml:space="preserve">FromOperation</t>
  </si>
  <si>
    <t xml:space="preserve">FromFlow</t>
  </si>
  <si>
    <t xml:space="preserve">Manufacturer</t>
  </si>
  <si>
    <t xml:space="preserve">ToStep</t>
  </si>
  <si>
    <t xml:space="preserve">ToOperation</t>
  </si>
  <si>
    <t xml:space="preserve">ToFlow</t>
  </si>
  <si>
    <t xml:space="preserve">MultiplicationFactor</t>
  </si>
  <si>
    <t xml:space="preserve">TimeLimit</t>
  </si>
  <si>
    <t xml:space="preserve">TimeLimitRule</t>
  </si>
  <si>
    <t xml:space="preserve">WarningTime</t>
  </si>
  <si>
    <t xml:space="preserve">WarningRule</t>
  </si>
  <si>
    <t xml:space="preserve">RemoveOnPass</t>
  </si>
  <si>
    <t xml:space="preserve">Page</t>
  </si>
  <si>
    <t xml:space="preserve">AutomationController</t>
  </si>
  <si>
    <t xml:space="preserve">IoTEventDefinition</t>
  </si>
  <si>
    <t xml:space="preserve">IdentifierPath</t>
  </si>
  <si>
    <t xml:space="preserve">NameGenerator</t>
  </si>
  <si>
    <t xml:space="preserve">UseInBatchId</t>
  </si>
  <si>
    <t xml:space="preserve">UseInNameGenerator</t>
  </si>
  <si>
    <t xml:space="preserve">BOMAssemblyType</t>
  </si>
  <si>
    <t xml:space="preserve">SNo</t>
  </si>
  <si>
    <t xml:space="preserve">TestParameter</t>
  </si>
  <si>
    <t xml:space="preserve">MaxReworkCount</t>
  </si>
  <si>
    <t xml:space="preserve">SystemState</t>
  </si>
  <si>
    <t xml:space="preserve">OrderNumber</t>
  </si>
  <si>
    <t xml:space="preserve">OrderLine</t>
  </si>
  <si>
    <t xml:space="preserve">Customer</t>
  </si>
  <si>
    <t xml:space="preserve">UnderDeliveryTolerance</t>
  </si>
  <si>
    <t xml:space="preserve">OverDeliveryTolerance</t>
  </si>
  <si>
    <t xml:space="preserve">PlannedStartDate</t>
  </si>
  <si>
    <t xml:space="preserve">PlannedEndDate</t>
  </si>
  <si>
    <t xml:space="preserve">IncludeBOMExplosionInPlanning</t>
  </si>
  <si>
    <t xml:space="preserve">ValidateMaterialProducts</t>
  </si>
  <si>
    <t xml:space="preserve">RestrictOnComplete</t>
  </si>
  <si>
    <t xml:space="preserve">NotificationDate</t>
  </si>
  <si>
    <t xml:space="preserve">Due date</t>
  </si>
  <si>
    <t xml:space="preserve">Start</t>
  </si>
  <si>
    <t xml:space="preserve">SubProductionOrderSequence</t>
  </si>
  <si>
    <t xml:space="preserve">SubProductionOrderName</t>
  </si>
  <si>
    <t xml:space="preserve">SubProductionOrderTargetQuantity</t>
  </si>
  <si>
    <t xml:space="preserve">MainContainerType</t>
  </si>
  <si>
    <t xml:space="preserve">SubContainerType</t>
  </si>
  <si>
    <t xml:space="preserve">ContainerType</t>
  </si>
  <si>
    <t xml:space="preserve">VendorId</t>
  </si>
  <si>
    <t xml:space="preserve">CapacityValidationMode</t>
  </si>
  <si>
    <t xml:space="preserve">CapacityUnits</t>
  </si>
  <si>
    <t xml:space="preserve">CapacityPerPosition</t>
  </si>
  <si>
    <t xml:space="preserve">CapacityForm</t>
  </si>
  <si>
    <t xml:space="preserve">AllowMixedTypes</t>
  </si>
  <si>
    <t xml:space="preserve">ResourceAssociationType</t>
  </si>
  <si>
    <t xml:space="preserve">ReleaseRole</t>
  </si>
  <si>
    <t xml:space="preserve">ReleaseCode</t>
  </si>
  <si>
    <t xml:space="preserve">SendMailCreateNotification</t>
  </si>
  <si>
    <t xml:space="preserve">SendMailNotificationAssignmentType</t>
  </si>
  <si>
    <t xml:space="preserve">SendMailNotificationAssignedToEmployee</t>
  </si>
  <si>
    <t xml:space="preserve">SendMailNotificationAssignedToRole</t>
  </si>
  <si>
    <t xml:space="preserve">SetResourceResource</t>
  </si>
  <si>
    <t xml:space="preserve">SetResourceAutomaticDispatch</t>
  </si>
  <si>
    <t xml:space="preserve">SetServiceService</t>
  </si>
  <si>
    <t xml:space="preserve">SendAheadEvaluateFlowPath</t>
  </si>
  <si>
    <t xml:space="preserve">SendAheadEvaluateFlow</t>
  </si>
  <si>
    <t xml:space="preserve">SendAheadEvaluateStep</t>
  </si>
  <si>
    <t xml:space="preserve">SendAheadMergeFlowPath</t>
  </si>
  <si>
    <t xml:space="preserve">SendAheadMergeFlow</t>
  </si>
  <si>
    <t xml:space="preserve">SendAheadMergeStep</t>
  </si>
  <si>
    <t xml:space="preserve">SendAheadSubMaterialsSelectionRule</t>
  </si>
  <si>
    <t xml:space="preserve">SendAheadSubMaterialsCount</t>
  </si>
  <si>
    <t xml:space="preserve">SendAheadSystemSelection</t>
  </si>
  <si>
    <t xml:space="preserve">Comment</t>
  </si>
  <si>
    <t xml:space="preserve">ActionFlowPath</t>
  </si>
  <si>
    <t xml:space="preserve">ActionFlow</t>
  </si>
  <si>
    <t xml:space="preserve">ActionStep</t>
  </si>
  <si>
    <t xml:space="preserve">WaitStep</t>
  </si>
  <si>
    <t xml:space="preserve">WaitFlow</t>
  </si>
  <si>
    <t xml:space="preserve">WaitFlowPath</t>
  </si>
  <si>
    <t xml:space="preserve">WaitLogicalPath</t>
  </si>
  <si>
    <t xml:space="preserve">EvaluationStep</t>
  </si>
  <si>
    <t xml:space="preserve">EvaluationFlow</t>
  </si>
  <si>
    <t xml:space="preserve">EvaluationFlowPath</t>
  </si>
  <si>
    <t xml:space="preserve">EvaluationLogicalPath</t>
  </si>
  <si>
    <t xml:space="preserve">MergeStep</t>
  </si>
  <si>
    <t xml:space="preserve">MergeFlow</t>
  </si>
  <si>
    <t xml:space="preserve">MergeFlowPath</t>
  </si>
  <si>
    <t xml:space="preserve">MergeLogicalPath</t>
  </si>
  <si>
    <t xml:space="preserve">ResultsCaptureMode</t>
  </si>
  <si>
    <t xml:space="preserve">AutoReleaseOnPass</t>
  </si>
  <si>
    <t xml:space="preserve">SendAheadRun</t>
  </si>
  <si>
    <t xml:space="preserve">SubMaterialsContainer</t>
  </si>
  <si>
    <t xml:space="preserve">SplitFromWaitingMaterial</t>
  </si>
  <si>
    <t xml:space="preserve">Purpose</t>
  </si>
  <si>
    <t xml:space="preserve">MaxNumberOfMaterials</t>
  </si>
  <si>
    <t xml:space="preserve">RequiredMaterialType</t>
  </si>
  <si>
    <t xml:space="preserve">RequiredMaterialForm</t>
  </si>
  <si>
    <t xml:space="preserve">RequiredSubMaterialsCount</t>
  </si>
  <si>
    <t xml:space="preserve">RequiredSubMaterialsForm</t>
  </si>
  <si>
    <t xml:space="preserve">IgnoreInSamplingPlan</t>
  </si>
  <si>
    <t xml:space="preserve">IgnoreInSPC</t>
  </si>
  <si>
    <t xml:space="preserve">AutoClose</t>
  </si>
  <si>
    <t xml:space="preserve">ExperimentObjectives</t>
  </si>
  <si>
    <t xml:space="preserve">MainMaterialGroups</t>
  </si>
  <si>
    <t xml:space="preserve">OptionalSubMaterials</t>
  </si>
  <si>
    <t xml:space="preserve">EmptySubMaterials</t>
  </si>
  <si>
    <t xml:space="preserve">ExperimentDefinition</t>
  </si>
  <si>
    <t xml:space="preserve">ExperimentDefinitionFlowPath</t>
  </si>
  <si>
    <t xml:space="preserve">Actions</t>
  </si>
  <si>
    <t xml:space="preserve">OnNewDisplayMode</t>
  </si>
  <si>
    <t xml:space="preserve">DisplayTime</t>
  </si>
  <si>
    <t xml:space="preserve">Title</t>
  </si>
  <si>
    <t xml:space="preserve">Details</t>
  </si>
  <si>
    <t xml:space="preserve">AssignedToEmployee</t>
  </si>
  <si>
    <t xml:space="preserve">AssignedToRole</t>
  </si>
  <si>
    <t xml:space="preserve">SendEmailToAssignedParty</t>
  </si>
  <si>
    <t xml:space="preserve">EmailDistributionList</t>
  </si>
  <si>
    <t xml:space="preserve">VisibilityFilter</t>
  </si>
  <si>
    <t xml:space="preserve">ClearanceMode</t>
  </si>
  <si>
    <t xml:space="preserve">Rows</t>
  </si>
  <si>
    <t xml:space="preserve">Columns</t>
  </si>
  <si>
    <t xml:space="preserve">Height</t>
  </si>
  <si>
    <t xml:space="preserve">Width</t>
  </si>
  <si>
    <t xml:space="preserve">DimensionUnits</t>
  </si>
  <si>
    <t xml:space="preserve">MaskFileRelativePath</t>
  </si>
  <si>
    <t xml:space="preserve">EmptyUnitsColor</t>
  </si>
  <si>
    <t xml:space="preserve">GridlinesColor</t>
  </si>
  <si>
    <t xml:space="preserve">ShowGridlinesByDefault</t>
  </si>
  <si>
    <t xml:space="preserve">DefaultRotation</t>
  </si>
  <si>
    <t xml:space="preserve">MaterialUnits</t>
  </si>
  <si>
    <t xml:space="preserve">RulerMode</t>
  </si>
  <si>
    <t xml:space="preserve">ShowRulerByDefault</t>
  </si>
  <si>
    <t xml:space="preserve">LossClassificationName</t>
  </si>
  <si>
    <t xml:space="preserve">BonusReason</t>
  </si>
  <si>
    <t xml:space="preserve">DataTypeSize</t>
  </si>
  <si>
    <t xml:space="preserve">DataTypePrecision</t>
  </si>
  <si>
    <t xml:space="preserve">IsDefaultLayer</t>
  </si>
  <si>
    <t xml:space="preserve">ShowValuesByDefault</t>
  </si>
  <si>
    <t xml:space="preserve">DisplayOnUnitDetails</t>
  </si>
  <si>
    <t xml:space="preserve">UnitsBackgroundColor</t>
  </si>
  <si>
    <t xml:space="preserve">UnitsForegroundColor</t>
  </si>
  <si>
    <t xml:space="preserve">Filters</t>
  </si>
  <si>
    <t xml:space="preserve">IsMaster</t>
  </si>
  <si>
    <t xml:space="preserve">IsSynchronized</t>
  </si>
  <si>
    <t xml:space="preserve">ExpirationDate</t>
  </si>
  <si>
    <t xml:space="preserve">Supplier</t>
  </si>
  <si>
    <t xml:space="preserve">ManufacturerPartNumber</t>
  </si>
  <si>
    <t xml:space="preserve">ManufacturerLotNumber</t>
  </si>
  <si>
    <t xml:space="preserve">DateCode</t>
  </si>
  <si>
    <t xml:space="preserve">PurchaseOrderNumber</t>
  </si>
  <si>
    <t xml:space="preserve">IsRoHSCompliant</t>
  </si>
  <si>
    <t xml:space="preserve">FloorLifeRemainingHours</t>
  </si>
  <si>
    <t xml:space="preserve">IsHot</t>
  </si>
  <si>
    <t xml:space="preserve">OverrideProductBlock</t>
  </si>
  <si>
    <t xml:space="preserve">InhibitMoveFromStep</t>
  </si>
  <si>
    <t xml:space="preserve">InhibitShip</t>
  </si>
  <si>
    <t xml:space="preserve">TargetMaterialQuantity</t>
  </si>
  <si>
    <t xml:space="preserve">TargetMaterialUnits</t>
  </si>
  <si>
    <t xml:space="preserve">ParentMaterial</t>
  </si>
</sst>
</file>

<file path=xl/styles.xml><?xml version="1.0" encoding="utf-8"?>
<styleSheet xmlns="http://schemas.openxmlformats.org/spreadsheetml/2006/main">
  <numFmts count="8">
    <numFmt numFmtId="164" formatCode="General"/>
    <numFmt numFmtId="165" formatCode="_-* #,##0.00&quot; €&quot;_-;\-* #,##0.00&quot; €&quot;_-;_-* \-??&quot; €&quot;_-;_-@_-"/>
    <numFmt numFmtId="166" formatCode="[$-409]d\-mmm\-yy;@"/>
    <numFmt numFmtId="167" formatCode="[$-409]m/d/yy\ h:mm:ss\ AM/PM;@"/>
    <numFmt numFmtId="168" formatCode="[$-409]General"/>
    <numFmt numFmtId="169" formatCode="mm/dd/yy;@"/>
    <numFmt numFmtId="170" formatCode="dd/mm/yyyy"/>
    <numFmt numFmtId="171" formatCode="yyyy/mm/dd"/>
  </numFmts>
  <fonts count="3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u val="single"/>
      <sz val="11"/>
      <color theme="10"/>
      <name val="Calibri"/>
      <family val="2"/>
      <charset val="1"/>
    </font>
    <font>
      <b val="true"/>
      <sz val="12"/>
      <name val="Arial"/>
      <family val="2"/>
      <charset val="1"/>
    </font>
    <font>
      <sz val="10"/>
      <name val="Arial"/>
      <family val="2"/>
      <charset val="1"/>
    </font>
    <font>
      <sz val="10"/>
      <color rgb="FF000000"/>
      <name val="Arial"/>
      <family val="2"/>
      <charset val="1"/>
    </font>
    <font>
      <b val="true"/>
      <sz val="11"/>
      <color rgb="FF000000"/>
      <name val="Calibri"/>
      <family val="2"/>
      <charset val="1"/>
    </font>
    <font>
      <sz val="10"/>
      <name val="Arial"/>
      <family val="2"/>
    </font>
    <font>
      <i val="true"/>
      <sz val="11"/>
      <color rgb="FF000000"/>
      <name val="Calibri"/>
      <family val="2"/>
      <charset val="1"/>
    </font>
    <font>
      <b val="true"/>
      <sz val="11"/>
      <name val="Calibri"/>
      <family val="2"/>
      <charset val="1"/>
    </font>
    <font>
      <b val="true"/>
      <sz val="11"/>
      <color rgb="FFFFFFFF"/>
      <name val="Calibri"/>
      <family val="2"/>
      <charset val="1"/>
    </font>
    <font>
      <b val="true"/>
      <sz val="11"/>
      <color theme="1"/>
      <name val="Calibri"/>
      <family val="2"/>
      <charset val="1"/>
    </font>
    <font>
      <sz val="9"/>
      <color rgb="FF000000"/>
      <name val="Tahoma"/>
      <family val="2"/>
      <charset val="1"/>
    </font>
    <font>
      <u val="single"/>
      <sz val="9"/>
      <color rgb="FF000000"/>
      <name val="Tahoma"/>
      <family val="2"/>
      <charset val="1"/>
    </font>
    <font>
      <sz val="11"/>
      <name val="Calibri"/>
      <family val="2"/>
      <charset val="1"/>
    </font>
    <font>
      <b val="true"/>
      <sz val="9"/>
      <color rgb="FF000000"/>
      <name val="Tahoma"/>
      <family val="2"/>
      <charset val="1"/>
    </font>
    <font>
      <b val="true"/>
      <sz val="11"/>
      <color rgb="FF990000"/>
      <name val="Calibri"/>
      <family val="2"/>
      <charset val="1"/>
    </font>
    <font>
      <sz val="8"/>
      <color rgb="FF000000"/>
      <name val="Tahoma"/>
      <family val="2"/>
      <charset val="1"/>
    </font>
    <font>
      <b val="true"/>
      <u val="single"/>
      <sz val="8"/>
      <color rgb="FF000000"/>
      <name val="Tahoma"/>
      <family val="2"/>
      <charset val="1"/>
    </font>
    <font>
      <b val="true"/>
      <sz val="12"/>
      <color rgb="FF990000"/>
      <name val="Calibri"/>
      <family val="2"/>
      <charset val="1"/>
    </font>
    <font>
      <i val="true"/>
      <sz val="9"/>
      <color rgb="FF000000"/>
      <name val="Tahoma"/>
      <family val="2"/>
      <charset val="1"/>
    </font>
    <font>
      <b val="true"/>
      <u val="single"/>
      <sz val="9"/>
      <color rgb="FF000000"/>
      <name val="Tahoma"/>
      <family val="2"/>
      <charset val="1"/>
    </font>
    <font>
      <sz val="10"/>
      <color rgb="FF000000"/>
      <name val="Calibri"/>
      <family val="2"/>
      <charset val="1"/>
    </font>
    <font>
      <b val="true"/>
      <sz val="11"/>
      <color rgb="FFC00000"/>
      <name val="Calibri"/>
      <family val="2"/>
      <charset val="1"/>
    </font>
    <font>
      <sz val="8"/>
      <color rgb="FF000000"/>
      <name val="Calibri"/>
      <family val="2"/>
      <charset val="1"/>
    </font>
    <font>
      <sz val="11"/>
      <color rgb="FF000000"/>
      <name val="Tahoma"/>
      <family val="2"/>
      <charset val="1"/>
    </font>
    <font>
      <i val="true"/>
      <sz val="8"/>
      <color rgb="FF000000"/>
      <name val="Calibri"/>
      <family val="2"/>
      <charset val="1"/>
    </font>
    <font>
      <b val="true"/>
      <sz val="8"/>
      <name val="Calibri"/>
      <family val="2"/>
      <charset val="1"/>
    </font>
    <font>
      <b val="true"/>
      <i val="true"/>
      <sz val="9"/>
      <color rgb="FF000000"/>
      <name val="Tahoma"/>
      <family val="2"/>
      <charset val="1"/>
    </font>
    <font>
      <b val="true"/>
      <sz val="14"/>
      <color rgb="FF990000"/>
      <name val="Calibri"/>
      <family val="2"/>
      <charset val="1"/>
    </font>
    <font>
      <b val="true"/>
      <i val="true"/>
      <u val="single"/>
      <sz val="9"/>
      <color rgb="FF000000"/>
      <name val="Tahoma"/>
      <family val="2"/>
      <charset val="1"/>
    </font>
  </fonts>
  <fills count="30">
    <fill>
      <patternFill patternType="none"/>
    </fill>
    <fill>
      <patternFill patternType="gray125"/>
    </fill>
    <fill>
      <patternFill patternType="solid">
        <fgColor theme="4" tint="0.7999"/>
        <bgColor rgb="FFDCE6F1"/>
      </patternFill>
    </fill>
    <fill>
      <patternFill patternType="solid">
        <fgColor theme="5" tint="0.7999"/>
        <bgColor rgb="FFFFF2CC"/>
      </patternFill>
    </fill>
    <fill>
      <patternFill patternType="solid">
        <fgColor theme="6" tint="0.7999"/>
        <bgColor rgb="FFDEEBF7"/>
      </patternFill>
    </fill>
    <fill>
      <patternFill patternType="solid">
        <fgColor theme="7" tint="0.7999"/>
        <bgColor rgb="FFFFFFCC"/>
      </patternFill>
    </fill>
    <fill>
      <patternFill patternType="solid">
        <fgColor theme="8" tint="0.7999"/>
        <bgColor rgb="FFDCE6F1"/>
      </patternFill>
    </fill>
    <fill>
      <patternFill patternType="solid">
        <fgColor theme="9" tint="0.7999"/>
        <bgColor rgb="FFEDEDED"/>
      </patternFill>
    </fill>
    <fill>
      <patternFill patternType="solid">
        <fgColor theme="4" tint="0.5999"/>
        <bgColor rgb="FFB8CCE4"/>
      </patternFill>
    </fill>
    <fill>
      <patternFill patternType="solid">
        <fgColor theme="5" tint="0.5999"/>
        <bgColor rgb="FFFFC7CE"/>
      </patternFill>
    </fill>
    <fill>
      <patternFill patternType="solid">
        <fgColor theme="6" tint="0.5999"/>
        <bgColor rgb="FFDAE3F3"/>
      </patternFill>
    </fill>
    <fill>
      <patternFill patternType="solid">
        <fgColor theme="7" tint="0.5999"/>
        <bgColor rgb="FFFFF2CC"/>
      </patternFill>
    </fill>
    <fill>
      <patternFill patternType="solid">
        <fgColor theme="8" tint="0.5999"/>
        <bgColor rgb="FFB8CCE4"/>
      </patternFill>
    </fill>
    <fill>
      <patternFill patternType="solid">
        <fgColor theme="9" tint="0.5999"/>
        <bgColor rgb="FFDBDBDB"/>
      </patternFill>
    </fill>
    <fill>
      <patternFill patternType="solid">
        <fgColor theme="4" tint="0.3999"/>
        <bgColor rgb="FF9DC3E6"/>
      </patternFill>
    </fill>
    <fill>
      <patternFill patternType="solid">
        <fgColor theme="5" tint="0.3999"/>
        <bgColor rgb="FFF8CBAD"/>
      </patternFill>
    </fill>
    <fill>
      <patternFill patternType="solid">
        <fgColor theme="6" tint="0.3999"/>
        <bgColor rgb="FFBFBFBF"/>
      </patternFill>
    </fill>
    <fill>
      <patternFill patternType="solid">
        <fgColor theme="7" tint="0.3999"/>
        <bgColor rgb="FFFFE699"/>
      </patternFill>
    </fill>
    <fill>
      <patternFill patternType="solid">
        <fgColor theme="8" tint="0.3999"/>
        <bgColor rgb="FFB4C7E7"/>
      </patternFill>
    </fill>
    <fill>
      <patternFill patternType="solid">
        <fgColor theme="9" tint="0.3999"/>
        <bgColor rgb="FFC5E0B4"/>
      </patternFill>
    </fill>
    <fill>
      <patternFill patternType="solid">
        <fgColor rgb="FFFFFFFF"/>
        <bgColor rgb="FFFFFFCC"/>
      </patternFill>
    </fill>
    <fill>
      <patternFill patternType="solid">
        <fgColor rgb="FFFFFFCC"/>
        <bgColor rgb="FFFFF2CC"/>
      </patternFill>
    </fill>
    <fill>
      <patternFill patternType="solid">
        <fgColor rgb="FFFFC000"/>
        <bgColor rgb="FFFFD966"/>
      </patternFill>
    </fill>
    <fill>
      <patternFill patternType="solid">
        <fgColor rgb="FFFFFF00"/>
        <bgColor rgb="FFFFD966"/>
      </patternFill>
    </fill>
    <fill>
      <patternFill patternType="solid">
        <fgColor rgb="FF4F81BD"/>
        <bgColor rgb="FF4472C4"/>
      </patternFill>
    </fill>
    <fill>
      <patternFill patternType="solid">
        <fgColor rgb="FFB8CCE4"/>
        <bgColor rgb="FFB4C7E7"/>
      </patternFill>
    </fill>
    <fill>
      <patternFill patternType="solid">
        <fgColor rgb="FFDCE6F1"/>
        <bgColor rgb="FFDAE3F3"/>
      </patternFill>
    </fill>
    <fill>
      <patternFill patternType="solid">
        <fgColor theme="0" tint="-0.25"/>
        <bgColor rgb="FFC9C9C9"/>
      </patternFill>
    </fill>
    <fill>
      <patternFill patternType="solid">
        <fgColor theme="0" tint="-0.5"/>
        <bgColor rgb="FF4F81BD"/>
      </patternFill>
    </fill>
    <fill>
      <patternFill patternType="solid">
        <fgColor theme="4"/>
        <bgColor rgb="FF4F81BD"/>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color rgb="FFB2B2B2"/>
      </left>
      <right style="thin">
        <color rgb="FFB2B2B2"/>
      </right>
      <top style="thin">
        <color rgb="FFB2B2B2"/>
      </top>
      <bottom style="thin">
        <color rgb="FFB2B2B2"/>
      </bottom>
      <diagonal/>
    </border>
    <border diagonalUp="false" diagonalDown="false">
      <left/>
      <right style="thin">
        <color rgb="FFFFFFFF"/>
      </right>
      <top style="thin">
        <color rgb="FFFFFFFF"/>
      </top>
      <bottom/>
      <diagonal/>
    </border>
    <border diagonalUp="false" diagonalDown="false">
      <left style="thin">
        <color rgb="FFFFFFFF"/>
      </left>
      <right/>
      <top style="thin">
        <color rgb="FFFFFFFF"/>
      </top>
      <bottom/>
      <diagonal/>
    </border>
    <border diagonalUp="false" diagonalDown="false">
      <left/>
      <right style="thin">
        <color rgb="FFFFFFFF"/>
      </right>
      <top style="thin">
        <color rgb="FFFFFFFF"/>
      </top>
      <bottom style="thin">
        <color rgb="FFFFFFFF"/>
      </bottom>
      <diagonal/>
    </border>
    <border diagonalUp="false" diagonalDown="false">
      <left style="thin">
        <color rgb="FFFFFFFF"/>
      </left>
      <right/>
      <top style="thin">
        <color rgb="FFFFFFFF"/>
      </top>
      <bottom style="thin">
        <color rgb="FFFFFFFF"/>
      </bottom>
      <diagonal/>
    </border>
    <border diagonalUp="false" diagonalDown="false">
      <left/>
      <right/>
      <top style="thin">
        <color rgb="FFFFFFFF"/>
      </top>
      <bottom style="thin">
        <color rgb="FFFFFFFF"/>
      </bottom>
      <diagonal/>
    </border>
    <border diagonalUp="false" diagonalDown="false">
      <left/>
      <right/>
      <top style="thin">
        <color rgb="FFFFFFFF"/>
      </top>
      <bottom/>
      <diagonal/>
    </border>
    <border diagonalUp="false" diagonalDown="false">
      <left/>
      <right/>
      <top/>
      <bottom style="thick">
        <color rgb="FFFFFFFF"/>
      </bottom>
      <diagonal/>
    </border>
  </borders>
  <cellStyleXfs count="6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20" borderId="1"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0" fillId="21" borderId="2" applyFont="true" applyBorder="true" applyAlignment="true" applyProtection="false">
      <alignment horizontal="general" vertical="bottom" textRotation="0" wrapText="false" indent="0" shrinkToFit="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0" fillId="22" borderId="0" xfId="0" applyFont="true" applyBorder="false" applyAlignment="true" applyProtection="false">
      <alignment horizontal="left" vertical="center" textRotation="0" wrapText="false" indent="0" shrinkToFit="false"/>
      <protection locked="true" hidden="false"/>
    </xf>
    <xf numFmtId="164" fontId="9" fillId="22" borderId="0" xfId="0" applyFont="true" applyBorder="false" applyAlignment="true" applyProtection="false">
      <alignment horizontal="left" vertical="center" textRotation="0" wrapText="false" indent="0" shrinkToFit="false"/>
      <protection locked="true" hidden="false"/>
    </xf>
    <xf numFmtId="164" fontId="0" fillId="15" borderId="0" xfId="0" applyFont="true" applyBorder="false" applyAlignment="true" applyProtection="false">
      <alignment horizontal="left" vertical="center" textRotation="0" wrapText="false" indent="0" shrinkToFit="false"/>
      <protection locked="true" hidden="false"/>
    </xf>
    <xf numFmtId="164" fontId="9" fillId="15" borderId="0" xfId="0" applyFont="true" applyBorder="false" applyAlignment="true" applyProtection="false">
      <alignment horizontal="left" vertical="center" textRotation="0" wrapText="false" indent="0" shrinkToFit="false"/>
      <protection locked="true" hidden="false"/>
    </xf>
    <xf numFmtId="164" fontId="0" fillId="23" borderId="0" xfId="0" applyFont="true" applyBorder="false" applyAlignment="true" applyProtection="false">
      <alignment horizontal="left" vertical="center" textRotation="0" wrapText="false" indent="0" shrinkToFit="false"/>
      <protection locked="true" hidden="false"/>
    </xf>
    <xf numFmtId="164" fontId="9" fillId="23" borderId="0" xfId="0" applyFont="true" applyBorder="false" applyAlignment="true" applyProtection="false">
      <alignment horizontal="left" vertical="center" textRotation="0" wrapText="false" indent="0" shrinkToFit="false"/>
      <protection locked="true" hidden="false"/>
    </xf>
    <xf numFmtId="164" fontId="0" fillId="23"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2" fillId="14" borderId="0" xfId="0" applyFont="true" applyBorder="false" applyAlignment="true" applyProtection="false">
      <alignment horizontal="left" vertical="center"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8" fontId="0" fillId="0" borderId="0" xfId="48" applyFont="true" applyBorder="fals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23" borderId="6"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8" borderId="0" xfId="47" applyFont="true" applyBorder="true" applyAlignment="false" applyProtection="false">
      <alignment horizontal="general" vertical="bottom" textRotation="0" wrapText="false" indent="0" shrinkToFit="false"/>
      <protection locked="true" hidden="false"/>
    </xf>
    <xf numFmtId="164" fontId="0" fillId="23" borderId="7" xfId="0" applyFont="true" applyBorder="true" applyAlignment="true" applyProtection="false">
      <alignment horizontal="left" vertical="center" textRotation="0" wrapText="false" indent="0" shrinkToFit="false"/>
      <protection locked="true" hidden="false"/>
    </xf>
    <xf numFmtId="164" fontId="0" fillId="23" borderId="8" xfId="0" applyFont="true" applyBorder="true" applyAlignment="true" applyProtection="false">
      <alignment horizontal="left" vertical="center" textRotation="0" wrapText="false" indent="0" shrinkToFit="false"/>
      <protection locked="true" hidden="false"/>
    </xf>
    <xf numFmtId="164" fontId="13" fillId="24" borderId="9" xfId="0" applyFont="true" applyBorder="true" applyAlignment="true" applyProtection="false">
      <alignment horizontal="left" vertical="center" textRotation="0" wrapText="false" indent="0" shrinkToFit="false"/>
      <protection locked="true" hidden="false"/>
    </xf>
    <xf numFmtId="164" fontId="0" fillId="25" borderId="7" xfId="0" applyFont="true" applyBorder="true" applyAlignment="true" applyProtection="false">
      <alignment horizontal="left" vertical="center" textRotation="0" wrapText="false" indent="0" shrinkToFit="false"/>
      <protection locked="true" hidden="false"/>
    </xf>
    <xf numFmtId="164" fontId="0" fillId="26" borderId="7" xfId="0" applyFont="true" applyBorder="true" applyAlignment="true" applyProtection="false">
      <alignment horizontal="left" vertical="center" textRotation="0" wrapText="false" indent="0" shrinkToFit="false"/>
      <protection locked="true" hidden="false"/>
    </xf>
    <xf numFmtId="164" fontId="0" fillId="25" borderId="8" xfId="0" applyFont="true" applyBorder="true" applyAlignment="true" applyProtection="false">
      <alignment horizontal="left" vertical="center" textRotation="0" wrapText="false" indent="0" shrinkToFit="false"/>
      <protection locked="true" hidden="false"/>
    </xf>
    <xf numFmtId="164" fontId="9" fillId="14"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0" fillId="27" borderId="0" xfId="0" applyFont="fals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2" fillId="14"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9" fillId="14"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12" fillId="5"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70" fontId="17" fillId="0" borderId="0" xfId="0" applyFont="true" applyBorder="false" applyAlignment="true" applyProtection="false">
      <alignment horizontal="left" vertical="center" textRotation="0" wrapText="false" indent="0" shrinkToFit="false"/>
      <protection locked="true" hidden="false"/>
    </xf>
    <xf numFmtId="164" fontId="12" fillId="28" borderId="1" xfId="0" applyFont="true" applyBorder="true" applyAlignment="true" applyProtection="false">
      <alignment horizontal="center" vertical="center" textRotation="0" wrapText="false" indent="0" shrinkToFit="false"/>
      <protection locked="true" hidden="false"/>
    </xf>
    <xf numFmtId="164" fontId="12" fillId="23" borderId="0" xfId="0" applyFont="true" applyBorder="false" applyAlignment="true" applyProtection="false">
      <alignment horizontal="left" vertical="center" textRotation="0" wrapText="false" indent="0" shrinkToFit="false"/>
      <protection locked="true" hidden="false"/>
    </xf>
    <xf numFmtId="164" fontId="12" fillId="5"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8" fontId="17" fillId="0" borderId="0" xfId="48" applyFont="true" applyBorder="false" applyAlignment="true" applyProtection="false">
      <alignment horizontal="left" vertical="center" textRotation="0" wrapText="false" indent="0" shrinkToFit="false"/>
      <protection locked="true" hidden="false"/>
    </xf>
    <xf numFmtId="168" fontId="12" fillId="14" borderId="0" xfId="48" applyFont="true" applyBorder="false" applyAlignment="true" applyProtection="false">
      <alignment horizontal="left" vertical="center" textRotation="0" wrapText="false" indent="0" shrinkToFit="false"/>
      <protection locked="true" hidden="false"/>
    </xf>
    <xf numFmtId="168" fontId="12" fillId="14" borderId="0" xfId="48" applyFont="true" applyBorder="false" applyAlignment="true" applyProtection="false">
      <alignment horizontal="left" vertical="center" textRotation="0" wrapText="true" indent="0" shrinkToFit="false"/>
      <protection locked="true" hidden="false"/>
    </xf>
    <xf numFmtId="168" fontId="12" fillId="5" borderId="0" xfId="48" applyFont="true" applyBorder="false" applyAlignment="true" applyProtection="false">
      <alignment horizontal="left" vertical="center" textRotation="0" wrapText="false" indent="0" shrinkToFit="false"/>
      <protection locked="true" hidden="false"/>
    </xf>
    <xf numFmtId="168" fontId="12" fillId="5" borderId="0" xfId="48" applyFont="true" applyBorder="false" applyAlignment="true" applyProtection="false">
      <alignment horizontal="left" vertical="center" textRotation="0" wrapText="true" indent="0" shrinkToFit="false"/>
      <protection locked="true" hidden="false"/>
    </xf>
    <xf numFmtId="168" fontId="12" fillId="23" borderId="0" xfId="48" applyFont="true" applyBorder="false" applyAlignment="true" applyProtection="false">
      <alignment horizontal="left" vertical="center" textRotation="0" wrapText="false" indent="0" shrinkToFit="false"/>
      <protection locked="true" hidden="false"/>
    </xf>
    <xf numFmtId="168" fontId="12" fillId="0" borderId="0" xfId="48"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8" fontId="12" fillId="14" borderId="0" xfId="48" applyFont="true" applyBorder="false" applyAlignment="true" applyProtection="true">
      <alignment horizontal="left" vertical="center" textRotation="0" wrapText="false" indent="0" shrinkToFit="false"/>
      <protection locked="false" hidden="false"/>
    </xf>
    <xf numFmtId="164" fontId="9" fillId="0" borderId="0" xfId="0" applyFont="true" applyBorder="false" applyAlignment="false" applyProtection="true">
      <alignment horizontal="general" vertical="bottom" textRotation="0" wrapText="false" indent="0" shrinkToFit="false"/>
      <protection locked="false" hidden="false"/>
    </xf>
    <xf numFmtId="171" fontId="0" fillId="0" borderId="0" xfId="0" applyFont="false" applyBorder="false" applyAlignment="true" applyProtection="false">
      <alignment horizontal="left" vertical="center" textRotation="0" wrapText="false" indent="0" shrinkToFit="false"/>
      <protection locked="true" hidden="false"/>
    </xf>
    <xf numFmtId="164" fontId="25"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left" vertical="center" textRotation="0" wrapText="false" indent="0" shrinkToFit="false"/>
      <protection locked="false" hidden="false"/>
    </xf>
    <xf numFmtId="164" fontId="12" fillId="14" borderId="0" xfId="0" applyFont="true" applyBorder="false" applyAlignment="true" applyProtection="true">
      <alignment horizontal="left" vertical="center" textRotation="0" wrapText="false" indent="0" shrinkToFit="false"/>
      <protection locked="false" hidden="false"/>
    </xf>
    <xf numFmtId="164" fontId="9" fillId="0" borderId="0" xfId="0" applyFont="true" applyBorder="false" applyAlignment="true" applyProtection="true">
      <alignment horizontal="left" vertical="center" textRotation="0" wrapText="false" indent="0" shrinkToFit="false"/>
      <protection locked="false" hidden="false"/>
    </xf>
    <xf numFmtId="164" fontId="0" fillId="0" borderId="0" xfId="0" applyFont="true" applyBorder="false" applyAlignment="true" applyProtection="true">
      <alignment horizontal="left" vertical="center" textRotation="0" wrapText="false" indent="0" shrinkToFit="false"/>
      <protection locked="false" hidden="false"/>
    </xf>
    <xf numFmtId="164" fontId="26" fillId="14" borderId="0" xfId="0" applyFont="true" applyBorder="false" applyAlignment="true" applyProtection="true">
      <alignment horizontal="left" vertical="center" textRotation="0" wrapText="false" indent="0" shrinkToFit="false"/>
      <protection locked="false" hidden="false"/>
    </xf>
    <xf numFmtId="164" fontId="13" fillId="29" borderId="0" xfId="0" applyFont="true" applyBorder="false" applyAlignment="false" applyProtection="false">
      <alignment horizontal="general" vertical="bottom" textRotation="0" wrapText="false" indent="0" shrinkToFit="false"/>
      <protection locked="true" hidden="false"/>
    </xf>
    <xf numFmtId="168" fontId="17" fillId="22" borderId="0" xfId="48" applyFont="true" applyBorder="false" applyAlignment="true" applyProtection="false">
      <alignment horizontal="left" vertical="center" textRotation="0" wrapText="false" indent="0" shrinkToFit="false"/>
      <protection locked="true" hidden="false"/>
    </xf>
    <xf numFmtId="168" fontId="17" fillId="7" borderId="0" xfId="48" applyFont="true" applyBorder="false" applyAlignment="true" applyProtection="false">
      <alignment horizontal="left" vertical="center" textRotation="0" wrapText="false" indent="0" shrinkToFit="false"/>
      <protection locked="true" hidden="false"/>
    </xf>
    <xf numFmtId="164" fontId="0" fillId="22"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true">
      <alignment horizontal="left" vertical="center" textRotation="0" wrapText="false" indent="0" shrinkToFit="false"/>
      <protection locked="fals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14" fillId="14" borderId="0" xfId="0" applyFont="true" applyBorder="false" applyAlignment="true" applyProtection="false">
      <alignment horizontal="left" vertical="center" textRotation="0" wrapText="false" indent="0" shrinkToFit="false"/>
      <protection locked="true" hidden="false"/>
    </xf>
    <xf numFmtId="164" fontId="29" fillId="0" borderId="0" xfId="0" applyFont="true" applyBorder="false" applyAlignment="true" applyProtection="true">
      <alignment horizontal="left" vertical="center" textRotation="0" wrapText="false" indent="0" shrinkToFit="false"/>
      <protection locked="false" hidden="false"/>
    </xf>
    <xf numFmtId="164" fontId="12" fillId="14" borderId="0" xfId="0" applyFont="true" applyBorder="false" applyAlignment="true" applyProtection="true">
      <alignment horizontal="left" vertical="center" textRotation="0" wrapText="true" indent="0" shrinkToFit="false"/>
      <protection locked="false" hidden="false"/>
    </xf>
    <xf numFmtId="164" fontId="12" fillId="0" borderId="0" xfId="0" applyFont="true" applyBorder="false" applyAlignment="true" applyProtection="true">
      <alignment horizontal="left" vertical="center" textRotation="0" wrapText="false" indent="0" shrinkToFit="false"/>
      <protection locked="false" hidden="false"/>
    </xf>
    <xf numFmtId="164" fontId="30" fillId="0" borderId="0" xfId="0" applyFont="true" applyBorder="false" applyAlignment="true" applyProtection="false">
      <alignment horizontal="left" vertical="center" textRotation="0" wrapText="false" indent="0" shrinkToFit="false"/>
      <protection locked="true" hidden="false"/>
    </xf>
    <xf numFmtId="164" fontId="12" fillId="14" borderId="0" xfId="0" applyFont="true" applyBorder="false" applyAlignment="true" applyProtection="false">
      <alignment horizontal="center" vertical="center" textRotation="0" wrapText="false" indent="0" shrinkToFit="false"/>
      <protection locked="true" hidden="false"/>
    </xf>
    <xf numFmtId="164" fontId="12" fillId="14" borderId="0" xfId="0" applyFont="true" applyBorder="false" applyAlignment="true" applyProtection="false">
      <alignment horizontal="center" vertical="center" textRotation="0" wrapText="true" indent="0" shrinkToFit="false"/>
      <protection locked="true" hidden="false"/>
    </xf>
    <xf numFmtId="171" fontId="0" fillId="0" borderId="0" xfId="0" applyFont="false" applyBorder="false" applyAlignment="true" applyProtection="false">
      <alignment horizontal="left" vertical="bottom" textRotation="0" wrapText="false" indent="0" shrinkToFit="false"/>
      <protection locked="true" hidden="false"/>
    </xf>
    <xf numFmtId="164" fontId="12" fillId="5" borderId="0" xfId="0" applyFont="true" applyBorder="false" applyAlignment="true" applyProtection="true">
      <alignment horizontal="left" vertical="center" textRotation="0" wrapText="false" indent="0" shrinkToFit="false"/>
      <protection locked="false" hidden="false"/>
    </xf>
    <xf numFmtId="164" fontId="17" fillId="0" borderId="0" xfId="0" applyFont="true" applyBorder="false" applyAlignment="true" applyProtection="true">
      <alignment horizontal="left" vertical="center" textRotation="0" wrapText="false" indent="0" shrinkToFit="false"/>
      <protection locked="fals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8" fontId="0" fillId="0" borderId="0" xfId="48" applyFont="true" applyBorder="false" applyAlignment="true" applyProtection="false">
      <alignment horizontal="left" vertical="center" textRotation="0" wrapText="false" indent="0" shrinkToFit="false"/>
      <protection locked="true" hidden="false"/>
    </xf>
    <xf numFmtId="164" fontId="0" fillId="0" borderId="0" xfId="47" applyFont="true" applyBorder="true" applyAlignment="false" applyProtection="false">
      <alignment horizontal="general" vertical="bottom" textRotation="0" wrapText="false" indent="0" shrinkToFit="false"/>
      <protection locked="true" hidden="false"/>
    </xf>
    <xf numFmtId="164" fontId="0" fillId="0" borderId="0" xfId="54" applyFont="true" applyBorder="true" applyAlignment="false" applyProtection="false">
      <alignment horizontal="general" vertical="bottom" textRotation="0" wrapText="false" indent="0" shrinkToFit="false"/>
      <protection locked="true" hidden="false"/>
    </xf>
    <xf numFmtId="164" fontId="17" fillId="0" borderId="0" xfId="54" applyFont="true" applyBorder="true" applyAlignment="false" applyProtection="false">
      <alignment horizontal="general" vertical="bottom" textRotation="0" wrapText="false" indent="0" shrinkToFit="false"/>
      <protection locked="true" hidden="false"/>
    </xf>
    <xf numFmtId="164" fontId="12" fillId="23" borderId="0" xfId="0" applyFont="true" applyBorder="false" applyAlignment="true" applyProtection="false">
      <alignment horizontal="left" vertical="center" textRotation="0" wrapText="true" indent="0" shrinkToFit="false"/>
      <protection locked="true" hidden="false"/>
    </xf>
    <xf numFmtId="164" fontId="26" fillId="14" borderId="0" xfId="0" applyFont="true" applyBorder="false" applyAlignment="true" applyProtection="false">
      <alignment horizontal="left" vertical="center" textRotation="0" wrapText="false" indent="0" shrinkToFit="false"/>
      <protection locked="true" hidden="false"/>
    </xf>
  </cellXfs>
  <cellStyles count="46">
    <cellStyle name="Normal" xfId="0" builtinId="0"/>
    <cellStyle name="Comma" xfId="15" builtinId="3"/>
    <cellStyle name="Comma [0]" xfId="16" builtinId="6"/>
    <cellStyle name="Currency" xfId="17" builtinId="4"/>
    <cellStyle name="Currency [0]" xfId="18" builtinId="7"/>
    <cellStyle name="Percent" xfId="19" builtinId="5"/>
    <cellStyle name="20% - Accent1 2" xfId="20"/>
    <cellStyle name="20% - Accent2 2" xfId="21"/>
    <cellStyle name="20% - Accent3 2" xfId="22"/>
    <cellStyle name="20% - Accent4 2" xfId="23"/>
    <cellStyle name="20% - Accent5 2" xfId="24"/>
    <cellStyle name="20% - Accent6 2" xfId="25"/>
    <cellStyle name="40% - Accent1 2" xfId="26"/>
    <cellStyle name="40% - Accent2 2" xfId="27"/>
    <cellStyle name="40% - Accent3 2" xfId="28"/>
    <cellStyle name="40% - Accent4 2" xfId="29"/>
    <cellStyle name="40% - Accent5 2" xfId="30"/>
    <cellStyle name="40% - Accent6 2" xfId="31"/>
    <cellStyle name="60% - Accent1 2" xfId="32"/>
    <cellStyle name="60% - Accent2 2" xfId="33"/>
    <cellStyle name="60% - Accent3 2" xfId="34"/>
    <cellStyle name="60% - Accent4 2" xfId="35"/>
    <cellStyle name="60% - Accent5 2" xfId="36"/>
    <cellStyle name="60% - Accent6 2" xfId="37"/>
    <cellStyle name="Euro" xfId="38"/>
    <cellStyle name="Hyperlink 2" xfId="39"/>
    <cellStyle name="Label" xfId="40"/>
    <cellStyle name="Normal 15" xfId="41"/>
    <cellStyle name="Normal 19" xfId="42"/>
    <cellStyle name="Normal 2" xfId="43"/>
    <cellStyle name="Normal 2 2" xfId="44"/>
    <cellStyle name="Normal 2 3" xfId="45"/>
    <cellStyle name="Normal 2 4" xfId="46"/>
    <cellStyle name="Normal 2 5" xfId="47"/>
    <cellStyle name="Normal 3" xfId="48"/>
    <cellStyle name="Normal 3 3" xfId="49"/>
    <cellStyle name="Normal 3 3 2" xfId="50"/>
    <cellStyle name="Normal 4" xfId="51"/>
    <cellStyle name="Normal 4 2" xfId="52"/>
    <cellStyle name="Normal 5" xfId="53"/>
    <cellStyle name="Normal 6" xfId="54"/>
    <cellStyle name="Normal_&lt;DM&gt;Recipe" xfId="55"/>
    <cellStyle name="Note 2" xfId="56"/>
    <cellStyle name="Standard_facility-list_12092006" xfId="57"/>
    <cellStyle name="Style 1" xfId="58"/>
    <cellStyle name="一般 2" xfId="59"/>
  </cellStyles>
  <dxfs count="242">
    <dxf>
      <fill>
        <patternFill patternType="solid">
          <fgColor rgb="FFF4B183"/>
          <bgColor rgb="FF000000"/>
        </patternFill>
      </fill>
    </dxf>
    <dxf>
      <fill>
        <patternFill patternType="solid">
          <fgColor rgb="FFFFC000"/>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4F81BD"/>
          <bgColor rgb="FF000000"/>
        </patternFill>
      </fill>
    </dxf>
    <dxf>
      <fill>
        <patternFill patternType="solid">
          <fgColor rgb="FFB8CCE4"/>
          <bgColor rgb="FF000000"/>
        </patternFill>
      </fill>
    </dxf>
    <dxf>
      <fill>
        <patternFill patternType="solid">
          <fgColor rgb="FFDCE6F1"/>
          <bgColor rgb="FF000000"/>
        </patternFill>
      </fill>
    </dxf>
    <dxf>
      <fill>
        <patternFill patternType="solid">
          <fgColor rgb="FFFFFFFF"/>
          <bgColor rgb="FF000000"/>
        </patternFill>
      </fill>
    </dxf>
    <dxf>
      <fill>
        <patternFill patternType="solid">
          <fgColor rgb="FF8FAADC"/>
          <bgColor rgb="FF000000"/>
        </patternFill>
      </fill>
    </dxf>
    <dxf>
      <fill>
        <patternFill patternType="solid">
          <fgColor rgb="FF99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2CC"/>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00000"/>
          <bgColor rgb="FF000000"/>
        </patternFill>
      </fill>
    </dxf>
    <dxf>
      <fill>
        <patternFill patternType="solid">
          <fgColor rgb="FF4472C4"/>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2F0D9"/>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C00000"/>
      <rgbColor rgb="FFFFF2CC"/>
      <rgbColor rgb="FF0000FF"/>
      <rgbColor rgb="FFFFFF00"/>
      <rgbColor rgb="FFFF00FF"/>
      <rgbColor rgb="FFEDEDED"/>
      <rgbColor rgb="FF990000"/>
      <rgbColor rgb="FF008000"/>
      <rgbColor rgb="FF000080"/>
      <rgbColor rgb="FFC5E0B4"/>
      <rgbColor rgb="FF800080"/>
      <rgbColor rgb="FF008080"/>
      <rgbColor rgb="FFBFBFBF"/>
      <rgbColor rgb="FF808080"/>
      <rgbColor rgb="FF8FAADC"/>
      <rgbColor rgb="FF993366"/>
      <rgbColor rgb="FFFFFFCC"/>
      <rgbColor rgb="FFDEEBF7"/>
      <rgbColor rgb="FF660066"/>
      <rgbColor rgb="FFFFC7CE"/>
      <rgbColor rgb="FF0563C1"/>
      <rgbColor rgb="FFBDD7EE"/>
      <rgbColor rgb="FF000080"/>
      <rgbColor rgb="FFFF00FF"/>
      <rgbColor rgb="FFFFD966"/>
      <rgbColor rgb="FFFBE5D6"/>
      <rgbColor rgb="FF800080"/>
      <rgbColor rgb="FF9C0006"/>
      <rgbColor rgb="FF008080"/>
      <rgbColor rgb="FF0000FF"/>
      <rgbColor rgb="FFDAE3F3"/>
      <rgbColor rgb="FFDCE6F1"/>
      <rgbColor rgb="FFE2F0D9"/>
      <rgbColor rgb="FFFFE699"/>
      <rgbColor rgb="FF9DC3E6"/>
      <rgbColor rgb="FFF4B183"/>
      <rgbColor rgb="FFB4C7E7"/>
      <rgbColor rgb="FFF8CBAD"/>
      <rgbColor rgb="FF4472C4"/>
      <rgbColor rgb="FFB8CCE4"/>
      <rgbColor rgb="FFA9D18E"/>
      <rgbColor rgb="FFFFC000"/>
      <rgbColor rgb="FFC9C9C9"/>
      <rgbColor rgb="FFDBDBDB"/>
      <rgbColor rgb="FF4F81BD"/>
      <rgbColor rgb="FFB2B2B2"/>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worksheet" Target="worksheets/sheet154.xml"/><Relationship Id="rId157" Type="http://schemas.openxmlformats.org/officeDocument/2006/relationships/worksheet" Target="worksheets/sheet155.xml"/><Relationship Id="rId158" Type="http://schemas.openxmlformats.org/officeDocument/2006/relationships/worksheet" Target="worksheets/sheet156.xml"/><Relationship Id="rId159" Type="http://schemas.openxmlformats.org/officeDocument/2006/relationships/worksheet" Target="worksheets/sheet157.xml"/><Relationship Id="rId160" Type="http://schemas.openxmlformats.org/officeDocument/2006/relationships/worksheet" Target="worksheets/sheet158.xml"/><Relationship Id="rId161" Type="http://schemas.openxmlformats.org/officeDocument/2006/relationships/worksheet" Target="worksheets/sheet159.xml"/><Relationship Id="rId162" Type="http://schemas.openxmlformats.org/officeDocument/2006/relationships/worksheet" Target="worksheets/sheet160.xml"/><Relationship Id="rId163" Type="http://schemas.openxmlformats.org/officeDocument/2006/relationships/worksheet" Target="worksheets/sheet161.xml"/><Relationship Id="rId164" Type="http://schemas.openxmlformats.org/officeDocument/2006/relationships/worksheet" Target="worksheets/sheet162.xml"/><Relationship Id="rId165" Type="http://schemas.openxmlformats.org/officeDocument/2006/relationships/worksheet" Target="worksheets/sheet163.xml"/><Relationship Id="rId166" Type="http://schemas.openxmlformats.org/officeDocument/2006/relationships/worksheet" Target="worksheets/sheet164.xml"/><Relationship Id="rId167" Type="http://schemas.openxmlformats.org/officeDocument/2006/relationships/worksheet" Target="worksheets/sheet165.xml"/><Relationship Id="rId168" Type="http://schemas.openxmlformats.org/officeDocument/2006/relationships/worksheet" Target="worksheets/sheet166.xml"/><Relationship Id="rId169" Type="http://schemas.openxmlformats.org/officeDocument/2006/relationships/worksheet" Target="worksheets/sheet167.xml"/><Relationship Id="rId170" Type="http://schemas.openxmlformats.org/officeDocument/2006/relationships/worksheet" Target="worksheets/sheet168.xml"/><Relationship Id="rId171" Type="http://schemas.openxmlformats.org/officeDocument/2006/relationships/worksheet" Target="worksheets/sheet169.xml"/><Relationship Id="rId172" Type="http://schemas.openxmlformats.org/officeDocument/2006/relationships/worksheet" Target="worksheets/sheet170.xml"/><Relationship Id="rId173" Type="http://schemas.openxmlformats.org/officeDocument/2006/relationships/worksheet" Target="worksheets/sheet171.xml"/><Relationship Id="rId174" Type="http://schemas.openxmlformats.org/officeDocument/2006/relationships/worksheet" Target="worksheets/sheet172.xml"/><Relationship Id="rId175" Type="http://schemas.openxmlformats.org/officeDocument/2006/relationships/worksheet" Target="worksheets/sheet173.xml"/><Relationship Id="rId176" Type="http://schemas.openxmlformats.org/officeDocument/2006/relationships/worksheet" Target="worksheets/sheet174.xml"/><Relationship Id="rId177" Type="http://schemas.openxmlformats.org/officeDocument/2006/relationships/worksheet" Target="worksheets/sheet175.xml"/><Relationship Id="rId178" Type="http://schemas.openxmlformats.org/officeDocument/2006/relationships/worksheet" Target="worksheets/sheet176.xml"/><Relationship Id="rId179" Type="http://schemas.openxmlformats.org/officeDocument/2006/relationships/worksheet" Target="worksheets/sheet177.xml"/><Relationship Id="rId180" Type="http://schemas.openxmlformats.org/officeDocument/2006/relationships/worksheet" Target="worksheets/sheet178.xml"/><Relationship Id="rId181" Type="http://schemas.openxmlformats.org/officeDocument/2006/relationships/worksheet" Target="worksheets/sheet179.xml"/><Relationship Id="rId182" Type="http://schemas.openxmlformats.org/officeDocument/2006/relationships/worksheet" Target="worksheets/sheet180.xml"/><Relationship Id="rId183" Type="http://schemas.openxmlformats.org/officeDocument/2006/relationships/worksheet" Target="worksheets/sheet181.xml"/><Relationship Id="rId184" Type="http://schemas.openxmlformats.org/officeDocument/2006/relationships/worksheet" Target="worksheets/sheet182.xml"/><Relationship Id="rId185" Type="http://schemas.openxmlformats.org/officeDocument/2006/relationships/worksheet" Target="worksheets/sheet183.xml"/><Relationship Id="rId186" Type="http://schemas.openxmlformats.org/officeDocument/2006/relationships/worksheet" Target="worksheets/sheet184.xml"/><Relationship Id="rId187" Type="http://schemas.openxmlformats.org/officeDocument/2006/relationships/worksheet" Target="worksheets/sheet185.xml"/><Relationship Id="rId188" Type="http://schemas.openxmlformats.org/officeDocument/2006/relationships/worksheet" Target="worksheets/sheet186.xml"/><Relationship Id="rId189" Type="http://schemas.openxmlformats.org/officeDocument/2006/relationships/worksheet" Target="worksheets/sheet187.xml"/><Relationship Id="rId190" Type="http://schemas.openxmlformats.org/officeDocument/2006/relationships/worksheet" Target="worksheets/sheet188.xml"/><Relationship Id="rId191" Type="http://schemas.openxmlformats.org/officeDocument/2006/relationships/worksheet" Target="worksheets/sheet189.xml"/><Relationship Id="rId192" Type="http://schemas.openxmlformats.org/officeDocument/2006/relationships/worksheet" Target="worksheets/sheet190.xml"/><Relationship Id="rId193" Type="http://schemas.openxmlformats.org/officeDocument/2006/relationships/worksheet" Target="worksheets/sheet191.xml"/><Relationship Id="rId194" Type="http://schemas.openxmlformats.org/officeDocument/2006/relationships/worksheet" Target="worksheets/sheet192.xml"/><Relationship Id="rId195" Type="http://schemas.openxmlformats.org/officeDocument/2006/relationships/worksheet" Target="worksheets/sheet193.xml"/><Relationship Id="rId196" Type="http://schemas.openxmlformats.org/officeDocument/2006/relationships/worksheet" Target="worksheets/sheet194.xml"/><Relationship Id="rId197" Type="http://schemas.openxmlformats.org/officeDocument/2006/relationships/worksheet" Target="worksheets/sheet195.xml"/><Relationship Id="rId198" Type="http://schemas.openxmlformats.org/officeDocument/2006/relationships/worksheet" Target="worksheets/sheet196.xml"/><Relationship Id="rId199" Type="http://schemas.openxmlformats.org/officeDocument/2006/relationships/worksheet" Target="worksheets/sheet197.xml"/><Relationship Id="rId200" Type="http://schemas.openxmlformats.org/officeDocument/2006/relationships/worksheet" Target="worksheets/sheet198.xml"/><Relationship Id="rId201" Type="http://schemas.openxmlformats.org/officeDocument/2006/relationships/worksheet" Target="worksheets/sheet199.xml"/><Relationship Id="rId202" Type="http://schemas.openxmlformats.org/officeDocument/2006/relationships/worksheet" Target="worksheets/sheet200.xml"/><Relationship Id="rId203" Type="http://schemas.openxmlformats.org/officeDocument/2006/relationships/worksheet" Target="worksheets/sheet201.xml"/><Relationship Id="rId204" Type="http://schemas.openxmlformats.org/officeDocument/2006/relationships/worksheet" Target="worksheets/sheet202.xml"/><Relationship Id="rId205" Type="http://schemas.openxmlformats.org/officeDocument/2006/relationships/worksheet" Target="worksheets/sheet203.xml"/><Relationship Id="rId206" Type="http://schemas.openxmlformats.org/officeDocument/2006/relationships/worksheet" Target="worksheets/sheet204.xml"/><Relationship Id="rId207" Type="http://schemas.openxmlformats.org/officeDocument/2006/relationships/worksheet" Target="worksheets/sheet205.xml"/><Relationship Id="rId208" Type="http://schemas.openxmlformats.org/officeDocument/2006/relationships/worksheet" Target="worksheets/sheet206.xml"/><Relationship Id="rId209" Type="http://schemas.openxmlformats.org/officeDocument/2006/relationships/worksheet" Target="worksheets/sheet207.xml"/><Relationship Id="rId210" Type="http://schemas.openxmlformats.org/officeDocument/2006/relationships/worksheet" Target="worksheets/sheet208.xml"/><Relationship Id="rId211" Type="http://schemas.openxmlformats.org/officeDocument/2006/relationships/worksheet" Target="worksheets/sheet209.xml"/><Relationship Id="rId212" Type="http://schemas.openxmlformats.org/officeDocument/2006/relationships/worksheet" Target="worksheets/sheet210.xml"/><Relationship Id="rId213" Type="http://schemas.openxmlformats.org/officeDocument/2006/relationships/worksheet" Target="worksheets/sheet211.xml"/><Relationship Id="rId214" Type="http://schemas.openxmlformats.org/officeDocument/2006/relationships/worksheet" Target="worksheets/sheet212.xml"/><Relationship Id="rId215" Type="http://schemas.openxmlformats.org/officeDocument/2006/relationships/worksheet" Target="worksheets/sheet213.xml"/><Relationship Id="rId216" Type="http://schemas.openxmlformats.org/officeDocument/2006/relationships/externalLink" Target="externalLinks/externalLink1.xml"/><Relationship Id="rId217" Type="http://schemas.openxmlformats.org/officeDocument/2006/relationships/sharedStrings" Target="sharedStrings.xml"/><Relationship Id="rId218"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https://entegris.sharepoint.com/Users/jaido/AppData/Roaming/Microsoft/Excel/HoneywellMasterData_FactoryModel%20(version%201).xlsb"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Formats"/>
      <sheetName val="Assumptions"/>
      <sheetName val="WorksheetNameMapping"/>
      <sheetName val="Enums"/>
      <sheetName val="&lt;SM&gt;Role"/>
      <sheetName val="&lt;SM&gt;Functionality"/>
      <sheetName val="&lt;SM&gt;User"/>
      <sheetName val="&lt;SM&gt;DataGroup"/>
      <sheetName val="&lt;SM&gt;LookupTableValues"/>
      <sheetName val="&lt;SM&gt;EntityType"/>
      <sheetName val="&lt;SM&gt;EntityTypeProperty"/>
      <sheetName val="&lt;SM&gt;StateModel"/>
      <sheetName val="StateModelState"/>
      <sheetName val="StateModelTransition"/>
      <sheetName val="&lt;SM&gt;DEEAction"/>
      <sheetName val="DEEActionOrder"/>
      <sheetName val="&lt;SM&gt;NameGenerator"/>
      <sheetName val="&lt;DM&gt;Certification"/>
      <sheetName val="&lt;DM&gt;Rule"/>
      <sheetName val="&lt;DM&gt;Checklist"/>
      <sheetName val="ChecklistItems"/>
      <sheetName val="ChecklistItemParameters"/>
      <sheetName val="&lt;DM&gt;Site"/>
      <sheetName val="&lt;DM&gt;Calendar"/>
      <sheetName val="&lt;DM&gt;Team"/>
      <sheetName val="&lt;DM&gt;ShiftDefinition"/>
      <sheetName val="&lt;DM&gt;Facility"/>
      <sheetName val="&lt;DM&gt;Schedule"/>
      <sheetName val="ScheduleSortRule"/>
      <sheetName val="ScheduleOptimizationCriteria"/>
      <sheetName val="ShiftDefinitionShift"/>
      <sheetName val="&lt;DM&gt;Area"/>
      <sheetName val="&lt;DM&gt;Document"/>
      <sheetName val="&lt;DM&gt;CalendarDay"/>
      <sheetName val="&lt;UP&gt;TeamShiftAssociation"/>
      <sheetName val="&lt;DM&gt;Employee"/>
      <sheetName val="&lt;DM&gt;EmployeeCertification"/>
      <sheetName val="&lt;DM&gt;SamplingPlan"/>
      <sheetName val="SPContextInformation"/>
      <sheetName val="&lt;DM&gt;SamplingPlanInstance"/>
      <sheetName val="&lt;DM&gt;Reason"/>
      <sheetName val="&lt;DM&gt;SortRuleSet"/>
      <sheetName val="&lt;DM&gt;Service"/>
      <sheetName val="&lt;DM&gt;Step"/>
      <sheetName val="StepReason"/>
      <sheetName val="StepSamplingPlan"/>
      <sheetName val="&lt;UP&gt;StepFutureActions"/>
      <sheetName val="&lt;DM&gt;ScheduleFeedStep"/>
      <sheetName val="&lt;DM&gt;ProductGroup"/>
      <sheetName val="ProductGroupParameters"/>
      <sheetName val="&lt;DM&gt;Flow"/>
      <sheetName val="FlowStructures"/>
      <sheetName val="&lt;DM&gt;Product"/>
      <sheetName val="ProductParameters"/>
      <sheetName val="&lt;DM&gt;SetupMatrix"/>
      <sheetName val="SetupMatrixTransitions"/>
      <sheetName val="&lt;DM&gt;Resource"/>
      <sheetName val="&lt;DM&gt;SubResource"/>
      <sheetName val="&lt;DM&gt;ResourceService"/>
      <sheetName val="&lt;DM&gt;ShiftPlan"/>
      <sheetName val="ShiftPlanWorkgroups"/>
      <sheetName val="&lt;DM&gt;WorkgroupStep"/>
      <sheetName val="&lt;DM&gt;WorkgroupResource"/>
      <sheetName val="&lt;UP&gt;EmployeeShiftDetails"/>
      <sheetName val="&lt;DM&gt;Parameter"/>
      <sheetName val="&lt;DM&gt;Protocol"/>
      <sheetName val="ProtocolStates"/>
      <sheetName val="&lt;DM&gt;KPI"/>
      <sheetName val="&lt;DM&gt;KPITimeFrame"/>
      <sheetName val="&lt;DM&gt;DataCollection"/>
      <sheetName val="DataCollectionParameters"/>
      <sheetName val="&lt;DM&gt;DataCollectionLimitSet"/>
      <sheetName val="&lt;DM&gt;BOM"/>
      <sheetName val="BOMProducts"/>
      <sheetName val="&lt;DM&gt;Chart"/>
      <sheetName val="&lt;DM&gt;LogicalChart"/>
      <sheetName val="&lt;DM&gt;Recipe"/>
      <sheetName val="RecipeParameters"/>
      <sheetName val="SubRecipes"/>
      <sheetName val="SubRecipeParameters"/>
      <sheetName val="&lt;DM&gt;MaintenancePlan"/>
      <sheetName val="MaintenancePlanActivities"/>
      <sheetName val="MaintenancePlanActivityCharts"/>
      <sheetName val="&lt;DM&gt;MaintenancePlanInstance"/>
      <sheetName val="&lt;GT&gt;GenericTable"/>
      <sheetName val="GenericTableProperties"/>
      <sheetName val="&lt;GT&gt;MaterialFormRelation"/>
      <sheetName val="&lt;ST&gt;SmartTable"/>
      <sheetName val="SmartTableProperties"/>
      <sheetName val="SmartTablePrecedenceKeys"/>
      <sheetName val="&lt;ST&gt;ServiceContext"/>
      <sheetName val="&lt;DM&gt;Container"/>
      <sheetName val="&lt;DM&gt;Material"/>
      <sheetName val="&lt;DM&gt;MapDefinition"/>
      <sheetName val="MapDefinitionLayers"/>
      <sheetName val="&lt;DM&gt;Map"/>
      <sheetName val="&lt;SM&gt;Config"/>
      <sheetName val="&lt;LOOKUP&gt;MTL_DC_Context"/>
      <sheetName val="&lt;ST&gt;RecipeContext"/>
      <sheetName val="&lt;ST&gt;MaterialChecklistContext"/>
      <sheetName val="&lt;LOOKUP&gt;RecipeParameterOverride"/>
      <sheetName val="&lt;ST&gt;MaterialDurablesContext"/>
      <sheetName val="&lt;ST&gt;MaterialDocumentContext"/>
      <sheetName val="&lt;ST&gt;ResourceDocumentContext"/>
      <sheetName val="&lt;ST&gt;StepChartContext"/>
      <sheetName val="&lt;LOOKUP&gt;DCExpressionContext"/>
      <sheetName val="HelpLookups"/>
      <sheetName val="HoneywellMasterData_FactoryM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tables/table1.xml><?xml version="1.0" encoding="utf-8"?>
<table xmlns="http://schemas.openxmlformats.org/spreadsheetml/2006/main" id="1" name="Table119" displayName="Table119" ref="N1:P27" headerRowCount="1" totalsRowCount="0" totalsRowShown="0">
  <autoFilter ref="N1:P27"/>
  <tableColumns count="3">
    <tableColumn id="1" name="Date Calculation"/>
    <tableColumn id="2" name="FromDate"/>
    <tableColumn id="3" name="ToDate"/>
  </tableColumns>
</table>
</file>

<file path=xl/tables/table2.xml><?xml version="1.0" encoding="utf-8"?>
<table xmlns="http://schemas.openxmlformats.org/spreadsheetml/2006/main" id="2" name="Table169" displayName="Table169" ref="A1:C2" headerRowCount="1" totalsRowCount="0" totalsRowShown="0">
  <autoFilter ref="A1:C2"/>
  <tableColumns count="3">
    <tableColumn id="1" name="Revision format"/>
    <tableColumn id="2" name="Use Revisions"/>
    <tableColumn id="3" name="Default create"/>
  </tableColumns>
</table>
</file>

<file path=xl/tables/table3.xml><?xml version="1.0" encoding="utf-8"?>
<table xmlns="http://schemas.openxmlformats.org/spreadsheetml/2006/main" id="3" name="Table2" displayName="Table2" ref="A1:D230" headerRowCount="1" totalsRowCount="0" totalsRowShown="0">
  <autoFilter ref="A1:D230"/>
  <tableColumns count="4">
    <tableColumn id="1" name="Tab Name"/>
    <tableColumn id="2" name="Object Type"/>
    <tableColumn id="3" name="Description"/>
    <tableColumn id="4" name="Execution Order"/>
  </tableColumns>
</table>
</file>

<file path=xl/tables/table4.xml><?xml version="1.0" encoding="utf-8"?>
<table xmlns="http://schemas.openxmlformats.org/spreadsheetml/2006/main" id="4" name="Table3" displayName="Table3" ref="A1:A110" headerRowCount="1" totalsRowCount="0" totalsRowShown="0">
  <autoFilter ref="A1:A110"/>
  <tableColumns count="1">
    <tableColumn id="1" name="Name"/>
  </tableColumns>
</table>
</file>

<file path=xl/tables/table5.xml><?xml version="1.0" encoding="utf-8"?>
<table xmlns="http://schemas.openxmlformats.org/spreadsheetml/2006/main" id="5" name="Table4" displayName="Table4" ref="A1:F5" headerRowCount="1" totalsRowCount="0" totalsRowShown="0">
  <autoFilter ref="A1:F5"/>
  <tableColumns count="6">
    <tableColumn id="1" name="Recipe"/>
    <tableColumn id="2" name="SubRecipe"/>
    <tableColumn id="3" name="DisplayName"/>
    <tableColumn id="4" name="Description"/>
    <tableColumn id="5" name="IsTemplate"/>
    <tableColumn id="6" name="Order"/>
  </tableColumns>
</table>
</file>

<file path=xl/tables/table6.xml><?xml version="1.0" encoding="utf-8"?>
<table xmlns="http://schemas.openxmlformats.org/spreadsheetml/2006/main" id="6" name="Table5" displayName="Table5" ref="A1:D4" headerRowCount="1" totalsRowCount="0" totalsRowShown="0">
  <autoFilter ref="A1:D4"/>
  <tableColumns count="4">
    <tableColumn id="1" name="SNo"/>
    <tableColumn id="2" name="Step"/>
    <tableColumn id="3" name="TestParameter"/>
    <tableColumn id="4" name="MaxReworkCount"/>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xml"/><Relationship Id="rId3"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7.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8.vml"/>
</Relationships>
</file>

<file path=xl/worksheets/_rels/sheet13.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6.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7.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22.vml"/>
</Relationships>
</file>

<file path=xl/worksheets/_rels/sheet33.xml.rels><?xml version="1.0" encoding="UTF-8"?>
<Relationships xmlns="http://schemas.openxmlformats.org/package/2006/relationships"><Relationship Id="rId1" Type="http://schemas.openxmlformats.org/officeDocument/2006/relationships/comments" Target="../comments33.xml"/><Relationship Id="rId2" Type="http://schemas.openxmlformats.org/officeDocument/2006/relationships/vmlDrawing" Target="../drawings/vmlDrawing23.vml"/>
</Relationships>
</file>

<file path=xl/worksheets/_rels/sheet34.xml.rels><?xml version="1.0" encoding="UTF-8"?>
<Relationships xmlns="http://schemas.openxmlformats.org/package/2006/relationships"><Relationship Id="rId1" Type="http://schemas.openxmlformats.org/officeDocument/2006/relationships/comments" Target="../comments34.xml"/><Relationship Id="rId2" Type="http://schemas.openxmlformats.org/officeDocument/2006/relationships/vmlDrawing" Target="../drawings/vmlDrawing24.vml"/>
</Relationships>
</file>

<file path=xl/worksheets/_rels/sheet36.xml.rels><?xml version="1.0" encoding="UTF-8"?>
<Relationships xmlns="http://schemas.openxmlformats.org/package/2006/relationships"><Relationship Id="rId1" Type="http://schemas.openxmlformats.org/officeDocument/2006/relationships/comments" Target="../comments36.xml"/><Relationship Id="rId2" Type="http://schemas.openxmlformats.org/officeDocument/2006/relationships/vmlDrawing" Target="../drawings/vmlDrawing25.vml"/>
</Relationships>
</file>

<file path=xl/worksheets/_rels/sheet37.xml.rels><?xml version="1.0" encoding="UTF-8"?>
<Relationships xmlns="http://schemas.openxmlformats.org/package/2006/relationships"><Relationship Id="rId1" Type="http://schemas.openxmlformats.org/officeDocument/2006/relationships/comments" Target="../comments37.xml"/><Relationship Id="rId2" Type="http://schemas.openxmlformats.org/officeDocument/2006/relationships/vmlDrawing" Target="../drawings/vmlDrawing26.vml"/>
</Relationships>
</file>

<file path=xl/worksheets/_rels/sheet38.xml.rels><?xml version="1.0" encoding="UTF-8"?>
<Relationships xmlns="http://schemas.openxmlformats.org/package/2006/relationships"><Relationship Id="rId1" Type="http://schemas.openxmlformats.org/officeDocument/2006/relationships/comments" Target="../comments38.xml"/><Relationship Id="rId2" Type="http://schemas.openxmlformats.org/officeDocument/2006/relationships/vmlDrawing" Target="../drawings/vmlDrawing27.vml"/>
</Relationships>
</file>

<file path=xl/worksheets/_rels/sheet39.xml.rels><?xml version="1.0" encoding="UTF-8"?>
<Relationships xmlns="http://schemas.openxmlformats.org/package/2006/relationships"><Relationship Id="rId1" Type="http://schemas.openxmlformats.org/officeDocument/2006/relationships/comments" Target="../comments39.xml"/><Relationship Id="rId2" Type="http://schemas.openxmlformats.org/officeDocument/2006/relationships/vmlDrawing" Target="../drawings/vmlDrawing28.vml"/>
</Relationships>
</file>

<file path=xl/worksheets/_rels/sheet40.xml.rels><?xml version="1.0" encoding="UTF-8"?>
<Relationships xmlns="http://schemas.openxmlformats.org/package/2006/relationships"><Relationship Id="rId1" Type="http://schemas.openxmlformats.org/officeDocument/2006/relationships/comments" Target="../comments40.xml"/><Relationship Id="rId2" Type="http://schemas.openxmlformats.org/officeDocument/2006/relationships/vmlDrawing" Target="../drawings/vmlDrawing29.vml"/>
</Relationships>
</file>

<file path=xl/worksheets/_rels/sheet41.xml.rels><?xml version="1.0" encoding="UTF-8"?>
<Relationships xmlns="http://schemas.openxmlformats.org/package/2006/relationships"><Relationship Id="rId1" Type="http://schemas.openxmlformats.org/officeDocument/2006/relationships/comments" Target="../comments41.xml"/><Relationship Id="rId2" Type="http://schemas.openxmlformats.org/officeDocument/2006/relationships/vmlDrawing" Target="../drawings/vmlDrawing30.vml"/>
</Relationships>
</file>

<file path=xl/worksheets/_rels/sheet42.xml.rels><?xml version="1.0" encoding="UTF-8"?>
<Relationships xmlns="http://schemas.openxmlformats.org/package/2006/relationships"><Relationship Id="rId1" Type="http://schemas.openxmlformats.org/officeDocument/2006/relationships/comments" Target="../comments42.xml"/><Relationship Id="rId2" Type="http://schemas.openxmlformats.org/officeDocument/2006/relationships/vmlDrawing" Target="../drawings/vmlDrawing31.vml"/>
</Relationships>
</file>

<file path=xl/worksheets/_rels/sheet46.xml.rels><?xml version="1.0" encoding="UTF-8"?>
<Relationships xmlns="http://schemas.openxmlformats.org/package/2006/relationships"><Relationship Id="rId1" Type="http://schemas.openxmlformats.org/officeDocument/2006/relationships/comments" Target="../comments46.xml"/><Relationship Id="rId2" Type="http://schemas.openxmlformats.org/officeDocument/2006/relationships/vmlDrawing" Target="../drawings/vmlDrawing32.vml"/>
</Relationships>
</file>

<file path=xl/worksheets/_rels/sheet47.xml.rels><?xml version="1.0" encoding="UTF-8"?>
<Relationships xmlns="http://schemas.openxmlformats.org/package/2006/relationships"><Relationship Id="rId1" Type="http://schemas.openxmlformats.org/officeDocument/2006/relationships/comments" Target="../comments47.xml"/><Relationship Id="rId2" Type="http://schemas.openxmlformats.org/officeDocument/2006/relationships/vmlDrawing" Target="../drawings/vmlDrawing33.vml"/>
</Relationships>
</file>

<file path=xl/worksheets/_rels/sheet48.xml.rels><?xml version="1.0" encoding="UTF-8"?>
<Relationships xmlns="http://schemas.openxmlformats.org/package/2006/relationships"><Relationship Id="rId1" Type="http://schemas.openxmlformats.org/officeDocument/2006/relationships/comments" Target="../comments48.xml"/><Relationship Id="rId2" Type="http://schemas.openxmlformats.org/officeDocument/2006/relationships/vmlDrawing" Target="../drawings/vmlDrawing34.vml"/>
</Relationships>
</file>

<file path=xl/worksheets/_rels/sheet49.xml.rels><?xml version="1.0" encoding="UTF-8"?>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4.xml"/><Relationship Id="rId3" Type="http://schemas.openxmlformats.org/officeDocument/2006/relationships/vmlDrawing" Target="../drawings/vmlDrawing35.vml"/>
</Relationships>
</file>

<file path=xl/worksheets/_rels/sheet51.xml.rels><?xml version="1.0" encoding="UTF-8"?>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xml"/><Relationship Id="rId3" Type="http://schemas.openxmlformats.org/officeDocument/2006/relationships/vmlDrawing" Target="../drawings/vmlDrawing36.vml"/>
</Relationships>
</file>

<file path=xl/worksheets/_rels/sheet52.xml.rels><?xml version="1.0" encoding="UTF-8"?>
<Relationships xmlns="http://schemas.openxmlformats.org/package/2006/relationships"><Relationship Id="rId1" Type="http://schemas.openxmlformats.org/officeDocument/2006/relationships/comments" Target="../comments52.xml"/><Relationship Id="rId2" Type="http://schemas.openxmlformats.org/officeDocument/2006/relationships/vmlDrawing" Target="../drawings/vmlDrawing37.vml"/>
</Relationships>
</file>

<file path=xl/worksheets/_rels/sheet54.xml.rels><?xml version="1.0" encoding="UTF-8"?>
<Relationships xmlns="http://schemas.openxmlformats.org/package/2006/relationships"><Relationship Id="rId1" Type="http://schemas.openxmlformats.org/officeDocument/2006/relationships/comments" Target="../comments54.xml"/><Relationship Id="rId2" Type="http://schemas.openxmlformats.org/officeDocument/2006/relationships/vmlDrawing" Target="../drawings/vmlDrawing38.vml"/>
</Relationships>
</file>

<file path=xl/worksheets/_rels/sheet55.xml.rels><?xml version="1.0" encoding="UTF-8"?>
<Relationships xmlns="http://schemas.openxmlformats.org/package/2006/relationships"><Relationship Id="rId1" Type="http://schemas.openxmlformats.org/officeDocument/2006/relationships/comments" Target="../comments55.xml"/><Relationship Id="rId2" Type="http://schemas.openxmlformats.org/officeDocument/2006/relationships/vmlDrawing" Target="../drawings/vmlDrawing39.vml"/>
</Relationships>
</file>

<file path=xl/worksheets/_rels/sheet56.xml.rels><?xml version="1.0" encoding="UTF-8"?>
<Relationships xmlns="http://schemas.openxmlformats.org/package/2006/relationships"><Relationship Id="rId1" Type="http://schemas.openxmlformats.org/officeDocument/2006/relationships/comments" Target="../comments56.xml"/><Relationship Id="rId2" Type="http://schemas.openxmlformats.org/officeDocument/2006/relationships/vmlDrawing" Target="../drawings/vmlDrawing40.vml"/>
</Relationships>
</file>

<file path=xl/worksheets/_rels/sheet57.xml.rels><?xml version="1.0" encoding="UTF-8"?>
<Relationships xmlns="http://schemas.openxmlformats.org/package/2006/relationships"><Relationship Id="rId1" Type="http://schemas.openxmlformats.org/officeDocument/2006/relationships/comments" Target="../comments57.xml"/><Relationship Id="rId2" Type="http://schemas.openxmlformats.org/officeDocument/2006/relationships/vmlDrawing" Target="../drawings/vmlDrawing41.vml"/>
</Relationships>
</file>

<file path=xl/worksheets/_rels/sheet58.xml.rels><?xml version="1.0" encoding="UTF-8"?>
<Relationships xmlns="http://schemas.openxmlformats.org/package/2006/relationships"><Relationship Id="rId1" Type="http://schemas.openxmlformats.org/officeDocument/2006/relationships/comments" Target="../comments58.xml"/><Relationship Id="rId2" Type="http://schemas.openxmlformats.org/officeDocument/2006/relationships/vmlDrawing" Target="../drawings/vmlDrawing42.vml"/>
</Relationships>
</file>

<file path=xl/worksheets/_rels/sheet59.xml.rels><?xml version="1.0" encoding="UTF-8"?>
<Relationships xmlns="http://schemas.openxmlformats.org/package/2006/relationships"><Relationship Id="rId1" Type="http://schemas.openxmlformats.org/officeDocument/2006/relationships/comments" Target="../comments59.xml"/><Relationship Id="rId2" Type="http://schemas.openxmlformats.org/officeDocument/2006/relationships/vmlDrawing" Target="../drawings/vmlDrawing43.vml"/>
</Relationships>
</file>

<file path=xl/worksheets/_rels/sheet60.xml.rels><?xml version="1.0" encoding="UTF-8"?>
<Relationships xmlns="http://schemas.openxmlformats.org/package/2006/relationships"><Relationship Id="rId1" Type="http://schemas.openxmlformats.org/officeDocument/2006/relationships/comments" Target="../comments60.xml"/><Relationship Id="rId2" Type="http://schemas.openxmlformats.org/officeDocument/2006/relationships/vmlDrawing" Target="../drawings/vmlDrawing44.vml"/>
</Relationships>
</file>

<file path=xl/worksheets/_rels/sheet61.xml.rels><?xml version="1.0" encoding="UTF-8"?>
<Relationships xmlns="http://schemas.openxmlformats.org/package/2006/relationships"><Relationship Id="rId1" Type="http://schemas.openxmlformats.org/officeDocument/2006/relationships/comments" Target="../comments61.xml"/><Relationship Id="rId2" Type="http://schemas.openxmlformats.org/officeDocument/2006/relationships/vmlDrawing" Target="../drawings/vmlDrawing45.vml"/>
</Relationships>
</file>

<file path=xl/worksheets/_rels/sheet62.xml.rels><?xml version="1.0" encoding="UTF-8"?>
<Relationships xmlns="http://schemas.openxmlformats.org/package/2006/relationships"><Relationship Id="rId1" Type="http://schemas.openxmlformats.org/officeDocument/2006/relationships/comments" Target="../comments62.xml"/><Relationship Id="rId2" Type="http://schemas.openxmlformats.org/officeDocument/2006/relationships/vmlDrawing" Target="../drawings/vmlDrawing46.vml"/>
</Relationships>
</file>

<file path=xl/worksheets/_rels/sheet64.xml.rels><?xml version="1.0" encoding="UTF-8"?>
<Relationships xmlns="http://schemas.openxmlformats.org/package/2006/relationships"><Relationship Id="rId1" Type="http://schemas.openxmlformats.org/officeDocument/2006/relationships/comments" Target="../comments64.xml"/><Relationship Id="rId2" Type="http://schemas.openxmlformats.org/officeDocument/2006/relationships/vmlDrawing" Target="../drawings/vmlDrawing47.vml"/>
</Relationships>
</file>

<file path=xl/worksheets/_rels/sheet65.xml.rels><?xml version="1.0" encoding="UTF-8"?>
<Relationships xmlns="http://schemas.openxmlformats.org/package/2006/relationships"><Relationship Id="rId1" Type="http://schemas.openxmlformats.org/officeDocument/2006/relationships/comments" Target="../comments65.xml"/><Relationship Id="rId2" Type="http://schemas.openxmlformats.org/officeDocument/2006/relationships/vmlDrawing" Target="../drawings/vmlDrawing48.vml"/>
</Relationships>
</file>

<file path=xl/worksheets/_rels/sheet66.xml.rels><?xml version="1.0" encoding="UTF-8"?>
<Relationships xmlns="http://schemas.openxmlformats.org/package/2006/relationships"><Relationship Id="rId1" Type="http://schemas.openxmlformats.org/officeDocument/2006/relationships/comments" Target="../comments66.xml"/><Relationship Id="rId2" Type="http://schemas.openxmlformats.org/officeDocument/2006/relationships/vmlDrawing" Target="../drawings/vmlDrawing49.vml"/>
</Relationships>
</file>

<file path=xl/worksheets/_rels/sheet67.xml.rels><?xml version="1.0" encoding="UTF-8"?>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xml"/><Relationship Id="rId3" Type="http://schemas.openxmlformats.org/officeDocument/2006/relationships/vmlDrawing" Target="../drawings/vmlDrawing50.vml"/>
</Relationships>
</file>

<file path=xl/worksheets/_rels/sheet68.xml.rels><?xml version="1.0" encoding="UTF-8"?>
<Relationships xmlns="http://schemas.openxmlformats.org/package/2006/relationships"><Relationship Id="rId1" Type="http://schemas.openxmlformats.org/officeDocument/2006/relationships/comments" Target="../comments68.xml"/><Relationship Id="rId2" Type="http://schemas.openxmlformats.org/officeDocument/2006/relationships/vmlDrawing" Target="../drawings/vmlDrawing51.vml"/>
</Relationships>
</file>

<file path=xl/worksheets/_rels/sheet71.xml.rels><?xml version="1.0" encoding="UTF-8"?>
<Relationships xmlns="http://schemas.openxmlformats.org/package/2006/relationships"><Relationship Id="rId1" Type="http://schemas.openxmlformats.org/officeDocument/2006/relationships/comments" Target="../comments71.xml"/><Relationship Id="rId2" Type="http://schemas.openxmlformats.org/officeDocument/2006/relationships/vmlDrawing" Target="../drawings/vmlDrawing52.vml"/>
</Relationships>
</file>

<file path=xl/worksheets/_rels/sheet72.xml.rels><?xml version="1.0" encoding="UTF-8"?>
<Relationships xmlns="http://schemas.openxmlformats.org/package/2006/relationships"><Relationship Id="rId1" Type="http://schemas.openxmlformats.org/officeDocument/2006/relationships/comments" Target="../comments72.xml"/><Relationship Id="rId2" Type="http://schemas.openxmlformats.org/officeDocument/2006/relationships/vmlDrawing" Target="../drawings/vmlDrawing53.vml"/>
</Relationships>
</file>

<file path=xl/worksheets/_rels/sheet73.xml.rels><?xml version="1.0" encoding="UTF-8"?>
<Relationships xmlns="http://schemas.openxmlformats.org/package/2006/relationships"><Relationship Id="rId1" Type="http://schemas.openxmlformats.org/officeDocument/2006/relationships/comments" Target="../comments73.xml"/><Relationship Id="rId2" Type="http://schemas.openxmlformats.org/officeDocument/2006/relationships/vmlDrawing" Target="../drawings/vmlDrawing54.vml"/>
</Relationships>
</file>

<file path=xl/worksheets/_rels/sheet74.xml.rels><?xml version="1.0" encoding="UTF-8"?>
<Relationships xmlns="http://schemas.openxmlformats.org/package/2006/relationships"><Relationship Id="rId1" Type="http://schemas.openxmlformats.org/officeDocument/2006/relationships/comments" Target="../comments74.xml"/><Relationship Id="rId2" Type="http://schemas.openxmlformats.org/officeDocument/2006/relationships/vmlDrawing" Target="../drawings/vmlDrawing55.vml"/>
</Relationships>
</file>

<file path=xl/worksheets/_rels/sheet75.xml.rels><?xml version="1.0" encoding="UTF-8"?>
<Relationships xmlns="http://schemas.openxmlformats.org/package/2006/relationships"><Relationship Id="rId1" Type="http://schemas.openxmlformats.org/officeDocument/2006/relationships/comments" Target="../comments75.xml"/><Relationship Id="rId2" Type="http://schemas.openxmlformats.org/officeDocument/2006/relationships/vmlDrawing" Target="../drawings/vmlDrawing56.vml"/>
</Relationships>
</file>

<file path=xl/worksheets/_rels/sheet76.xml.rels><?xml version="1.0" encoding="UTF-8"?>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xml"/><Relationship Id="rId3" Type="http://schemas.openxmlformats.org/officeDocument/2006/relationships/vmlDrawing" Target="../drawings/vmlDrawing57.vml"/>
</Relationships>
</file>

<file path=xl/worksheets/_rels/sheet78.xml.rels><?xml version="1.0" encoding="UTF-8"?>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8.xml"/><Relationship Id="rId3" Type="http://schemas.openxmlformats.org/officeDocument/2006/relationships/vmlDrawing" Target="../drawings/vmlDrawing58.vml"/>
</Relationships>
</file>

<file path=xl/worksheets/_rels/sheet79.xml.rels><?xml version="1.0" encoding="UTF-8"?>
<Relationships xmlns="http://schemas.openxmlformats.org/package/2006/relationships"><Relationship Id="rId1" Type="http://schemas.openxmlformats.org/officeDocument/2006/relationships/comments" Target="../comments79.xml"/><Relationship Id="rId2" Type="http://schemas.openxmlformats.org/officeDocument/2006/relationships/vmlDrawing" Target="../drawings/vmlDrawing59.vml"/>
</Relationships>
</file>

<file path=xl/worksheets/_rels/sheet80.xml.rels><?xml version="1.0" encoding="UTF-8"?>
<Relationships xmlns="http://schemas.openxmlformats.org/package/2006/relationships"><Relationship Id="rId1" Type="http://schemas.openxmlformats.org/officeDocument/2006/relationships/comments" Target="../comments80.xml"/><Relationship Id="rId2" Type="http://schemas.openxmlformats.org/officeDocument/2006/relationships/vmlDrawing" Target="../drawings/vmlDrawing60.vml"/>
</Relationships>
</file>

<file path=xl/worksheets/_rels/sheet81.xml.rels><?xml version="1.0" encoding="UTF-8"?>
<Relationships xmlns="http://schemas.openxmlformats.org/package/2006/relationships"><Relationship Id="rId1" Type="http://schemas.openxmlformats.org/officeDocument/2006/relationships/comments" Target="../comments81.xml"/><Relationship Id="rId2" Type="http://schemas.openxmlformats.org/officeDocument/2006/relationships/vmlDrawing" Target="../drawings/vmlDrawing61.vml"/>
</Relationships>
</file>

<file path=xl/worksheets/_rels/sheet82.xml.rels><?xml version="1.0" encoding="UTF-8"?>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9.xml"/><Relationship Id="rId3" Type="http://schemas.openxmlformats.org/officeDocument/2006/relationships/vmlDrawing" Target="../drawings/vmlDrawing62.vml"/>
</Relationships>
</file>

<file path=xl/worksheets/_rels/sheet83.xml.rels><?xml version="1.0" encoding="UTF-8"?>
<Relationships xmlns="http://schemas.openxmlformats.org/package/2006/relationships"><Relationship Id="rId1" Type="http://schemas.openxmlformats.org/officeDocument/2006/relationships/comments" Target="../comments83.xml"/><Relationship Id="rId2" Type="http://schemas.openxmlformats.org/officeDocument/2006/relationships/vmlDrawing" Target="../drawings/vmlDrawing63.vml"/>
</Relationships>
</file>

<file path=xl/worksheets/_rels/sheet85.xml.rels><?xml version="1.0" encoding="UTF-8"?>
<Relationships xmlns="http://schemas.openxmlformats.org/package/2006/relationships"><Relationship Id="rId1" Type="http://schemas.openxmlformats.org/officeDocument/2006/relationships/comments" Target="../comments85.xml"/><Relationship Id="rId2" Type="http://schemas.openxmlformats.org/officeDocument/2006/relationships/vmlDrawing" Target="../drawings/vmlDrawing64.vml"/>
</Relationships>
</file>

<file path=xl/worksheets/_rels/sheet86.xml.rels><?xml version="1.0" encoding="UTF-8"?>
<Relationships xmlns="http://schemas.openxmlformats.org/package/2006/relationships"><Relationship Id="rId1" Type="http://schemas.openxmlformats.org/officeDocument/2006/relationships/comments" Target="../comments86.xml"/><Relationship Id="rId2" Type="http://schemas.openxmlformats.org/officeDocument/2006/relationships/vmlDrawing" Target="../drawings/vmlDrawing65.vml"/>
</Relationships>
</file>

<file path=xl/worksheets/_rels/sheet89.xml.rels><?xml version="1.0" encoding="UTF-8"?>
<Relationships xmlns="http://schemas.openxmlformats.org/package/2006/relationships"><Relationship Id="rId1" Type="http://schemas.openxmlformats.org/officeDocument/2006/relationships/comments" Target="../comments89.xml"/><Relationship Id="rId2" Type="http://schemas.openxmlformats.org/officeDocument/2006/relationships/vmlDrawing" Target="../drawings/vmlDrawing66.vml"/>
</Relationships>
</file>

<file path=xl/worksheets/_rels/sheet90.xml.rels><?xml version="1.0" encoding="UTF-8"?>
<Relationships xmlns="http://schemas.openxmlformats.org/package/2006/relationships"><Relationship Id="rId1" Type="http://schemas.openxmlformats.org/officeDocument/2006/relationships/comments" Target="../comments90.xml"/><Relationship Id="rId2" Type="http://schemas.openxmlformats.org/officeDocument/2006/relationships/vmlDrawing" Target="../drawings/vmlDrawing67.vml"/>
</Relationships>
</file>

<file path=xl/worksheets/_rels/sheet91.xml.rels><?xml version="1.0" encoding="UTF-8"?>
<Relationships xmlns="http://schemas.openxmlformats.org/package/2006/relationships"><Relationship Id="rId1" Type="http://schemas.openxmlformats.org/officeDocument/2006/relationships/comments" Target="../comments91.xml"/><Relationship Id="rId2" Type="http://schemas.openxmlformats.org/officeDocument/2006/relationships/vmlDrawing" Target="../drawings/vmlDrawing68.vml"/>
</Relationships>
</file>

<file path=xl/worksheets/_rels/sheet92.xml.rels><?xml version="1.0" encoding="UTF-8"?>
<Relationships xmlns="http://schemas.openxmlformats.org/package/2006/relationships"><Relationship Id="rId1" Type="http://schemas.openxmlformats.org/officeDocument/2006/relationships/comments" Target="../comments92.xml"/><Relationship Id="rId2" Type="http://schemas.openxmlformats.org/officeDocument/2006/relationships/vmlDrawing" Target="../drawings/vmlDrawing69.vml"/>
</Relationships>
</file>

<file path=xl/worksheets/_rels/sheet96.xml.rels><?xml version="1.0" encoding="UTF-8"?>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10.xml"/><Relationship Id="rId3" Type="http://schemas.openxmlformats.org/officeDocument/2006/relationships/vmlDrawing" Target="../drawings/vmlDrawing70.vml"/>
</Relationships>
</file>

<file path=xl/worksheets/_rels/sheet97.xml.rels><?xml version="1.0" encoding="UTF-8"?>
<Relationships xmlns="http://schemas.openxmlformats.org/package/2006/relationships"><Relationship Id="rId1" Type="http://schemas.openxmlformats.org/officeDocument/2006/relationships/comments" Target="../comments97.xml"/><Relationship Id="rId2" Type="http://schemas.openxmlformats.org/officeDocument/2006/relationships/drawing" Target="../drawings/drawing11.xml"/><Relationship Id="rId3" Type="http://schemas.openxmlformats.org/officeDocument/2006/relationships/vmlDrawing" Target="../drawings/vmlDrawing71.vml"/>
</Relationships>
</file>

<file path=xl/worksheets/_rels/sheet98.xml.rels><?xml version="1.0" encoding="UTF-8"?>
<Relationships xmlns="http://schemas.openxmlformats.org/package/2006/relationships"><Relationship Id="rId1" Type="http://schemas.openxmlformats.org/officeDocument/2006/relationships/comments" Target="../comments98.xml"/><Relationship Id="rId2" Type="http://schemas.openxmlformats.org/officeDocument/2006/relationships/vmlDrawing" Target="../drawings/vmlDrawing72.vml"/>
</Relationships>
</file>

<file path=xl/worksheets/_rels/sheet100.xml.rels><?xml version="1.0" encoding="UTF-8"?>
<Relationships xmlns="http://schemas.openxmlformats.org/package/2006/relationships"><Relationship Id="rId1" Type="http://schemas.openxmlformats.org/officeDocument/2006/relationships/comments" Target="../comments100.xml"/><Relationship Id="rId2" Type="http://schemas.openxmlformats.org/officeDocument/2006/relationships/vmlDrawing" Target="../drawings/vmlDrawing73.vml"/>
</Relationships>
</file>

<file path=xl/worksheets/_rels/sheet101.xml.rels><?xml version="1.0" encoding="UTF-8"?>
<Relationships xmlns="http://schemas.openxmlformats.org/package/2006/relationships"><Relationship Id="rId1" Type="http://schemas.openxmlformats.org/officeDocument/2006/relationships/comments" Target="../comments101.xml"/><Relationship Id="rId2" Type="http://schemas.openxmlformats.org/officeDocument/2006/relationships/vmlDrawing" Target="../drawings/vmlDrawing74.vml"/>
</Relationships>
</file>

<file path=xl/worksheets/_rels/sheet102.xml.rels><?xml version="1.0" encoding="UTF-8"?>
<Relationships xmlns="http://schemas.openxmlformats.org/package/2006/relationships"><Relationship Id="rId1" Type="http://schemas.openxmlformats.org/officeDocument/2006/relationships/comments" Target="../comments102.xml"/><Relationship Id="rId2" Type="http://schemas.openxmlformats.org/officeDocument/2006/relationships/drawing" Target="../drawings/drawing12.xml"/><Relationship Id="rId3" Type="http://schemas.openxmlformats.org/officeDocument/2006/relationships/vmlDrawing" Target="../drawings/vmlDrawing75.vml"/>
</Relationships>
</file>

<file path=xl/worksheets/_rels/sheet103.xml.rels><?xml version="1.0" encoding="UTF-8"?>
<Relationships xmlns="http://schemas.openxmlformats.org/package/2006/relationships"><Relationship Id="rId1" Type="http://schemas.openxmlformats.org/officeDocument/2006/relationships/comments" Target="../comments103.xml"/><Relationship Id="rId2" Type="http://schemas.openxmlformats.org/officeDocument/2006/relationships/vmlDrawing" Target="../drawings/vmlDrawing76.vml"/>
</Relationships>
</file>

<file path=xl/worksheets/_rels/sheet104.xml.rels><?xml version="1.0" encoding="UTF-8"?>
<Relationships xmlns="http://schemas.openxmlformats.org/package/2006/relationships"><Relationship Id="rId1" Type="http://schemas.openxmlformats.org/officeDocument/2006/relationships/comments" Target="../comments104.xml"/><Relationship Id="rId2" Type="http://schemas.openxmlformats.org/officeDocument/2006/relationships/drawing" Target="../drawings/drawing13.xml"/><Relationship Id="rId3" Type="http://schemas.openxmlformats.org/officeDocument/2006/relationships/vmlDrawing" Target="../drawings/vmlDrawing77.vml"/>
</Relationships>
</file>

<file path=xl/worksheets/_rels/sheet105.xml.rels><?xml version="1.0" encoding="UTF-8"?>
<Relationships xmlns="http://schemas.openxmlformats.org/package/2006/relationships"><Relationship Id="rId1" Type="http://schemas.openxmlformats.org/officeDocument/2006/relationships/comments" Target="../comments105.xml"/><Relationship Id="rId2" Type="http://schemas.openxmlformats.org/officeDocument/2006/relationships/vmlDrawing" Target="../drawings/vmlDrawing78.vml"/>
</Relationships>
</file>

<file path=xl/worksheets/_rels/sheet106.xml.rels><?xml version="1.0" encoding="UTF-8"?>
<Relationships xmlns="http://schemas.openxmlformats.org/package/2006/relationships"><Relationship Id="rId1" Type="http://schemas.openxmlformats.org/officeDocument/2006/relationships/comments" Target="../comments106.xml"/><Relationship Id="rId2" Type="http://schemas.openxmlformats.org/officeDocument/2006/relationships/vmlDrawing" Target="../drawings/vmlDrawing79.vml"/>
</Relationships>
</file>

<file path=xl/worksheets/_rels/sheet107.xml.rels><?xml version="1.0" encoding="UTF-8"?>
<Relationships xmlns="http://schemas.openxmlformats.org/package/2006/relationships"><Relationship Id="rId1" Type="http://schemas.openxmlformats.org/officeDocument/2006/relationships/comments" Target="../comments107.xml"/><Relationship Id="rId2" Type="http://schemas.openxmlformats.org/officeDocument/2006/relationships/vmlDrawing" Target="../drawings/vmlDrawing80.vml"/>
</Relationships>
</file>

<file path=xl/worksheets/_rels/sheet108.xml.rels><?xml version="1.0" encoding="UTF-8"?>
<Relationships xmlns="http://schemas.openxmlformats.org/package/2006/relationships"><Relationship Id="rId1" Type="http://schemas.openxmlformats.org/officeDocument/2006/relationships/comments" Target="../comments108.xml"/><Relationship Id="rId2" Type="http://schemas.openxmlformats.org/officeDocument/2006/relationships/vmlDrawing" Target="../drawings/vmlDrawing81.vml"/>
</Relationships>
</file>

<file path=xl/worksheets/_rels/sheet109.xml.rels><?xml version="1.0" encoding="UTF-8"?>
<Relationships xmlns="http://schemas.openxmlformats.org/package/2006/relationships"><Relationship Id="rId1" Type="http://schemas.openxmlformats.org/officeDocument/2006/relationships/comments" Target="../comments109.xml"/><Relationship Id="rId2" Type="http://schemas.openxmlformats.org/officeDocument/2006/relationships/vmlDrawing" Target="../drawings/vmlDrawing82.vml"/>
</Relationships>
</file>

<file path=xl/worksheets/_rels/sheet111.xml.rels><?xml version="1.0" encoding="UTF-8"?>
<Relationships xmlns="http://schemas.openxmlformats.org/package/2006/relationships"><Relationship Id="rId1" Type="http://schemas.openxmlformats.org/officeDocument/2006/relationships/comments" Target="../comments111.xml"/><Relationship Id="rId2" Type="http://schemas.openxmlformats.org/officeDocument/2006/relationships/vmlDrawing" Target="../drawings/vmlDrawing83.vml"/>
</Relationships>
</file>

<file path=xl/worksheets/_rels/sheet112.xml.rels><?xml version="1.0" encoding="UTF-8"?>
<Relationships xmlns="http://schemas.openxmlformats.org/package/2006/relationships"><Relationship Id="rId1" Type="http://schemas.openxmlformats.org/officeDocument/2006/relationships/table" Target="../tables/table1.xml"/>
</Relationships>
</file>

<file path=xl/worksheets/_rels/sheet113.xml.rels><?xml version="1.0" encoding="UTF-8"?>
<Relationships xmlns="http://schemas.openxmlformats.org/package/2006/relationships"><Relationship Id="rId1" Type="http://schemas.openxmlformats.org/officeDocument/2006/relationships/comments" Target="../comments113.xml"/><Relationship Id="rId2" Type="http://schemas.openxmlformats.org/officeDocument/2006/relationships/vmlDrawing" Target="../drawings/vmlDrawing84.vml"/>
</Relationships>
</file>

<file path=xl/worksheets/_rels/sheet114.xml.rels><?xml version="1.0" encoding="UTF-8"?>
<Relationships xmlns="http://schemas.openxmlformats.org/package/2006/relationships"><Relationship Id="rId1" Type="http://schemas.openxmlformats.org/officeDocument/2006/relationships/comments" Target="../comments114.xml"/><Relationship Id="rId2" Type="http://schemas.openxmlformats.org/officeDocument/2006/relationships/drawing" Target="../drawings/drawing14.xml"/><Relationship Id="rId3" Type="http://schemas.openxmlformats.org/officeDocument/2006/relationships/vmlDrawing" Target="../drawings/vmlDrawing85.vml"/>
</Relationships>
</file>

<file path=xl/worksheets/_rels/sheet115.xml.rels><?xml version="1.0" encoding="UTF-8"?>
<Relationships xmlns="http://schemas.openxmlformats.org/package/2006/relationships"><Relationship Id="rId1" Type="http://schemas.openxmlformats.org/officeDocument/2006/relationships/comments" Target="../comments115.xml"/><Relationship Id="rId2" Type="http://schemas.openxmlformats.org/officeDocument/2006/relationships/vmlDrawing" Target="../drawings/vmlDrawing86.vml"/>
</Relationships>
</file>

<file path=xl/worksheets/_rels/sheet116.xml.rels><?xml version="1.0" encoding="UTF-8"?>
<Relationships xmlns="http://schemas.openxmlformats.org/package/2006/relationships"><Relationship Id="rId1" Type="http://schemas.openxmlformats.org/officeDocument/2006/relationships/comments" Target="../comments116.xml"/><Relationship Id="rId2" Type="http://schemas.openxmlformats.org/officeDocument/2006/relationships/vmlDrawing" Target="../drawings/vmlDrawing87.vml"/>
</Relationships>
</file>

<file path=xl/worksheets/_rels/sheet118.xml.rels><?xml version="1.0" encoding="UTF-8"?>
<Relationships xmlns="http://schemas.openxmlformats.org/package/2006/relationships"><Relationship Id="rId1" Type="http://schemas.openxmlformats.org/officeDocument/2006/relationships/comments" Target="../comments118.xml"/><Relationship Id="rId2" Type="http://schemas.openxmlformats.org/officeDocument/2006/relationships/vmlDrawing" Target="../drawings/vmlDrawing88.vml"/>
</Relationships>
</file>

<file path=xl/worksheets/_rels/sheet119.xml.rels><?xml version="1.0" encoding="UTF-8"?>
<Relationships xmlns="http://schemas.openxmlformats.org/package/2006/relationships"><Relationship Id="rId1" Type="http://schemas.openxmlformats.org/officeDocument/2006/relationships/comments" Target="../comments119.xml"/><Relationship Id="rId2" Type="http://schemas.openxmlformats.org/officeDocument/2006/relationships/vmlDrawing" Target="../drawings/vmlDrawing89.vml"/>
</Relationships>
</file>

<file path=xl/worksheets/_rels/sheet120.xml.rels><?xml version="1.0" encoding="UTF-8"?>
<Relationships xmlns="http://schemas.openxmlformats.org/package/2006/relationships"><Relationship Id="rId1" Type="http://schemas.openxmlformats.org/officeDocument/2006/relationships/comments" Target="../comments120.xml"/><Relationship Id="rId2" Type="http://schemas.openxmlformats.org/officeDocument/2006/relationships/vmlDrawing" Target="../drawings/vmlDrawing90.vml"/>
</Relationships>
</file>

<file path=xl/worksheets/_rels/sheet121.xml.rels><?xml version="1.0" encoding="UTF-8"?>
<Relationships xmlns="http://schemas.openxmlformats.org/package/2006/relationships"><Relationship Id="rId1" Type="http://schemas.openxmlformats.org/officeDocument/2006/relationships/comments" Target="../comments121.xml"/><Relationship Id="rId2" Type="http://schemas.openxmlformats.org/officeDocument/2006/relationships/vmlDrawing" Target="../drawings/vmlDrawing91.vml"/>
</Relationships>
</file>

<file path=xl/worksheets/_rels/sheet122.xml.rels><?xml version="1.0" encoding="UTF-8"?>
<Relationships xmlns="http://schemas.openxmlformats.org/package/2006/relationships"><Relationship Id="rId1" Type="http://schemas.openxmlformats.org/officeDocument/2006/relationships/drawing" Target="../drawings/drawing15.xml"/>
</Relationships>
</file>

<file path=xl/worksheets/_rels/sheet123.xml.rels><?xml version="1.0" encoding="UTF-8"?>
<Relationships xmlns="http://schemas.openxmlformats.org/package/2006/relationships"><Relationship Id="rId1" Type="http://schemas.openxmlformats.org/officeDocument/2006/relationships/comments" Target="../comments123.xml"/><Relationship Id="rId2" Type="http://schemas.openxmlformats.org/officeDocument/2006/relationships/vmlDrawing" Target="../drawings/vmlDrawing92.vml"/>
</Relationships>
</file>

<file path=xl/worksheets/_rels/sheet124.xml.rels><?xml version="1.0" encoding="UTF-8"?>
<Relationships xmlns="http://schemas.openxmlformats.org/package/2006/relationships"><Relationship Id="rId1" Type="http://schemas.openxmlformats.org/officeDocument/2006/relationships/comments" Target="../comments124.xml"/><Relationship Id="rId2" Type="http://schemas.openxmlformats.org/officeDocument/2006/relationships/vmlDrawing" Target="../drawings/vmlDrawing93.vml"/>
</Relationships>
</file>

<file path=xl/worksheets/_rels/sheet125.xml.rels><?xml version="1.0" encoding="UTF-8"?>
<Relationships xmlns="http://schemas.openxmlformats.org/package/2006/relationships"><Relationship Id="rId1" Type="http://schemas.openxmlformats.org/officeDocument/2006/relationships/comments" Target="../comments125.xml"/><Relationship Id="rId2" Type="http://schemas.openxmlformats.org/officeDocument/2006/relationships/vmlDrawing" Target="../drawings/vmlDrawing94.vml"/>
</Relationships>
</file>

<file path=xl/worksheets/_rels/sheet126.xml.rels><?xml version="1.0" encoding="UTF-8"?>
<Relationships xmlns="http://schemas.openxmlformats.org/package/2006/relationships"><Relationship Id="rId1" Type="http://schemas.openxmlformats.org/officeDocument/2006/relationships/comments" Target="../comments126.xml"/><Relationship Id="rId2" Type="http://schemas.openxmlformats.org/officeDocument/2006/relationships/vmlDrawing" Target="../drawings/vmlDrawing95.vml"/>
</Relationships>
</file>

<file path=xl/worksheets/_rels/sheet127.xml.rels><?xml version="1.0" encoding="UTF-8"?>
<Relationships xmlns="http://schemas.openxmlformats.org/package/2006/relationships"><Relationship Id="rId1" Type="http://schemas.openxmlformats.org/officeDocument/2006/relationships/comments" Target="../comments127.xml"/><Relationship Id="rId2" Type="http://schemas.openxmlformats.org/officeDocument/2006/relationships/vmlDrawing" Target="../drawings/vmlDrawing96.vml"/>
</Relationships>
</file>

<file path=xl/worksheets/_rels/sheet129.xml.rels><?xml version="1.0" encoding="UTF-8"?>
<Relationships xmlns="http://schemas.openxmlformats.org/package/2006/relationships"><Relationship Id="rId1" Type="http://schemas.openxmlformats.org/officeDocument/2006/relationships/comments" Target="../comments129.xml"/><Relationship Id="rId2" Type="http://schemas.openxmlformats.org/officeDocument/2006/relationships/vmlDrawing" Target="../drawings/vmlDrawing97.vml"/>
</Relationships>
</file>

<file path=xl/worksheets/_rels/sheet130.xml.rels><?xml version="1.0" encoding="UTF-8"?>
<Relationships xmlns="http://schemas.openxmlformats.org/package/2006/relationships"><Relationship Id="rId1" Type="http://schemas.openxmlformats.org/officeDocument/2006/relationships/comments" Target="../comments130.xml"/><Relationship Id="rId2" Type="http://schemas.openxmlformats.org/officeDocument/2006/relationships/vmlDrawing" Target="../drawings/vmlDrawing98.vml"/>
</Relationships>
</file>

<file path=xl/worksheets/_rels/sheet131.xml.rels><?xml version="1.0" encoding="UTF-8"?>
<Relationships xmlns="http://schemas.openxmlformats.org/package/2006/relationships"><Relationship Id="rId1" Type="http://schemas.openxmlformats.org/officeDocument/2006/relationships/comments" Target="../comments131.xml"/><Relationship Id="rId2" Type="http://schemas.openxmlformats.org/officeDocument/2006/relationships/vmlDrawing" Target="../drawings/vmlDrawing99.vml"/>
</Relationships>
</file>

<file path=xl/worksheets/_rels/sheet132.xml.rels><?xml version="1.0" encoding="UTF-8"?>
<Relationships xmlns="http://schemas.openxmlformats.org/package/2006/relationships"><Relationship Id="rId1" Type="http://schemas.openxmlformats.org/officeDocument/2006/relationships/comments" Target="../comments132.xml"/><Relationship Id="rId2" Type="http://schemas.openxmlformats.org/officeDocument/2006/relationships/vmlDrawing" Target="../drawings/vmlDrawing100.vml"/>
</Relationships>
</file>

<file path=xl/worksheets/_rels/sheet133.xml.rels><?xml version="1.0" encoding="UTF-8"?>
<Relationships xmlns="http://schemas.openxmlformats.org/package/2006/relationships"><Relationship Id="rId1" Type="http://schemas.openxmlformats.org/officeDocument/2006/relationships/comments" Target="../comments133.xml"/><Relationship Id="rId2" Type="http://schemas.openxmlformats.org/officeDocument/2006/relationships/vmlDrawing" Target="../drawings/vmlDrawing101.vml"/>
</Relationships>
</file>

<file path=xl/worksheets/_rels/sheet134.xml.rels><?xml version="1.0" encoding="UTF-8"?>
<Relationships xmlns="http://schemas.openxmlformats.org/package/2006/relationships"><Relationship Id="rId1" Type="http://schemas.openxmlformats.org/officeDocument/2006/relationships/comments" Target="../comments134.xml"/><Relationship Id="rId2" Type="http://schemas.openxmlformats.org/officeDocument/2006/relationships/vmlDrawing" Target="../drawings/vmlDrawing102.vml"/>
</Relationships>
</file>

<file path=xl/worksheets/_rels/sheet135.xml.rels><?xml version="1.0" encoding="UTF-8"?>
<Relationships xmlns="http://schemas.openxmlformats.org/package/2006/relationships"><Relationship Id="rId1" Type="http://schemas.openxmlformats.org/officeDocument/2006/relationships/comments" Target="../comments135.xml"/><Relationship Id="rId2" Type="http://schemas.openxmlformats.org/officeDocument/2006/relationships/vmlDrawing" Target="../drawings/vmlDrawing103.vml"/><Relationship Id="rId3" Type="http://schemas.openxmlformats.org/officeDocument/2006/relationships/table" Target="../tables/table4.xml"/>
</Relationships>
</file>

<file path=xl/worksheets/_rels/sheet136.xml.rels><?xml version="1.0" encoding="UTF-8"?>
<Relationships xmlns="http://schemas.openxmlformats.org/package/2006/relationships"><Relationship Id="rId1" Type="http://schemas.openxmlformats.org/officeDocument/2006/relationships/comments" Target="../comments136.xml"/><Relationship Id="rId2" Type="http://schemas.openxmlformats.org/officeDocument/2006/relationships/drawing" Target="../drawings/drawing16.xml"/><Relationship Id="rId3" Type="http://schemas.openxmlformats.org/officeDocument/2006/relationships/vmlDrawing" Target="../drawings/vmlDrawing104.vml"/>
</Relationships>
</file>

<file path=xl/worksheets/_rels/sheet137.xml.rels><?xml version="1.0" encoding="UTF-8"?>
<Relationships xmlns="http://schemas.openxmlformats.org/package/2006/relationships"><Relationship Id="rId1" Type="http://schemas.openxmlformats.org/officeDocument/2006/relationships/comments" Target="../comments137.xml"/><Relationship Id="rId2" Type="http://schemas.openxmlformats.org/officeDocument/2006/relationships/vmlDrawing" Target="../drawings/vmlDrawing105.vml"/><Relationship Id="rId3" Type="http://schemas.openxmlformats.org/officeDocument/2006/relationships/table" Target="../tables/table5.xml"/>
</Relationships>
</file>

<file path=xl/worksheets/_rels/sheet138.xml.rels><?xml version="1.0" encoding="UTF-8"?>
<Relationships xmlns="http://schemas.openxmlformats.org/package/2006/relationships"><Relationship Id="rId1" Type="http://schemas.openxmlformats.org/officeDocument/2006/relationships/comments" Target="../comments138.xml"/><Relationship Id="rId2" Type="http://schemas.openxmlformats.org/officeDocument/2006/relationships/vmlDrawing" Target="../drawings/vmlDrawing106.vml"/>
</Relationships>
</file>

<file path=xl/worksheets/_rels/sheet139.xml.rels><?xml version="1.0" encoding="UTF-8"?>
<Relationships xmlns="http://schemas.openxmlformats.org/package/2006/relationships"><Relationship Id="rId1" Type="http://schemas.openxmlformats.org/officeDocument/2006/relationships/comments" Target="../comments139.xml"/><Relationship Id="rId2" Type="http://schemas.openxmlformats.org/officeDocument/2006/relationships/vmlDrawing" Target="../drawings/vmlDrawing107.vml"/>
</Relationships>
</file>

<file path=xl/worksheets/_rels/sheet140.xml.rels><?xml version="1.0" encoding="UTF-8"?>
<Relationships xmlns="http://schemas.openxmlformats.org/package/2006/relationships"><Relationship Id="rId1" Type="http://schemas.openxmlformats.org/officeDocument/2006/relationships/comments" Target="../comments140.xml"/><Relationship Id="rId2" Type="http://schemas.openxmlformats.org/officeDocument/2006/relationships/vmlDrawing" Target="../drawings/vmlDrawing108.vml"/>
</Relationships>
</file>

<file path=xl/worksheets/_rels/sheet141.xml.rels><?xml version="1.0" encoding="UTF-8"?>
<Relationships xmlns="http://schemas.openxmlformats.org/package/2006/relationships"><Relationship Id="rId1" Type="http://schemas.openxmlformats.org/officeDocument/2006/relationships/comments" Target="../comments141.xml"/><Relationship Id="rId2" Type="http://schemas.openxmlformats.org/officeDocument/2006/relationships/vmlDrawing" Target="../drawings/vmlDrawing109.vml"/>
</Relationships>
</file>

<file path=xl/worksheets/_rels/sheet144.xml.rels><?xml version="1.0" encoding="UTF-8"?>
<Relationships xmlns="http://schemas.openxmlformats.org/package/2006/relationships"><Relationship Id="rId1" Type="http://schemas.openxmlformats.org/officeDocument/2006/relationships/comments" Target="../comments144.xml"/><Relationship Id="rId2" Type="http://schemas.openxmlformats.org/officeDocument/2006/relationships/vmlDrawing" Target="../drawings/vmlDrawing110.vml"/>
</Relationships>
</file>

<file path=xl/worksheets/_rels/sheet145.xml.rels><?xml version="1.0" encoding="UTF-8"?>
<Relationships xmlns="http://schemas.openxmlformats.org/package/2006/relationships"><Relationship Id="rId1" Type="http://schemas.openxmlformats.org/officeDocument/2006/relationships/comments" Target="../comments145.xml"/><Relationship Id="rId2" Type="http://schemas.openxmlformats.org/officeDocument/2006/relationships/vmlDrawing" Target="../drawings/vmlDrawing111.vml"/>
</Relationships>
</file>

<file path=xl/worksheets/_rels/sheet148.xml.rels><?xml version="1.0" encoding="UTF-8"?>
<Relationships xmlns="http://schemas.openxmlformats.org/package/2006/relationships"><Relationship Id="rId1" Type="http://schemas.openxmlformats.org/officeDocument/2006/relationships/comments" Target="../comments148.xml"/><Relationship Id="rId2" Type="http://schemas.openxmlformats.org/officeDocument/2006/relationships/vmlDrawing" Target="../drawings/vmlDrawing112.vml"/>
</Relationships>
</file>

<file path=xl/worksheets/_rels/sheet149.xml.rels><?xml version="1.0" encoding="UTF-8"?>
<Relationships xmlns="http://schemas.openxmlformats.org/package/2006/relationships"><Relationship Id="rId1" Type="http://schemas.openxmlformats.org/officeDocument/2006/relationships/comments" Target="../comments149.xml"/><Relationship Id="rId2" Type="http://schemas.openxmlformats.org/officeDocument/2006/relationships/vmlDrawing" Target="../drawings/vmlDrawing113.vml"/>
</Relationships>
</file>

<file path=xl/worksheets/_rels/sheet153.xml.rels><?xml version="1.0" encoding="UTF-8"?>
<Relationships xmlns="http://schemas.openxmlformats.org/package/2006/relationships"><Relationship Id="rId1" Type="http://schemas.openxmlformats.org/officeDocument/2006/relationships/comments" Target="../comments153.xml"/><Relationship Id="rId2" Type="http://schemas.openxmlformats.org/officeDocument/2006/relationships/vmlDrawing" Target="../drawings/vmlDrawing114.vml"/>
</Relationships>
</file>

<file path=xl/worksheets/_rels/sheet154.xml.rels><?xml version="1.0" encoding="UTF-8"?>
<Relationships xmlns="http://schemas.openxmlformats.org/package/2006/relationships"><Relationship Id="rId1" Type="http://schemas.openxmlformats.org/officeDocument/2006/relationships/comments" Target="../comments154.xml"/><Relationship Id="rId2" Type="http://schemas.openxmlformats.org/officeDocument/2006/relationships/vmlDrawing" Target="../drawings/vmlDrawing115.vml"/>
</Relationships>
</file>

<file path=xl/worksheets/_rels/sheet157.xml.rels><?xml version="1.0" encoding="UTF-8"?>
<Relationships xmlns="http://schemas.openxmlformats.org/package/2006/relationships"><Relationship Id="rId1" Type="http://schemas.openxmlformats.org/officeDocument/2006/relationships/comments" Target="../comments157.xml"/><Relationship Id="rId2" Type="http://schemas.openxmlformats.org/officeDocument/2006/relationships/vmlDrawing" Target="../drawings/vmlDrawing116.vml"/>
</Relationships>
</file>

<file path=xl/worksheets/_rels/sheet158.xml.rels><?xml version="1.0" encoding="UTF-8"?>
<Relationships xmlns="http://schemas.openxmlformats.org/package/2006/relationships"><Relationship Id="rId1" Type="http://schemas.openxmlformats.org/officeDocument/2006/relationships/comments" Target="../comments158.xml"/><Relationship Id="rId2" Type="http://schemas.openxmlformats.org/officeDocument/2006/relationships/vmlDrawing" Target="../drawings/vmlDrawing117.vml"/>
</Relationships>
</file>

<file path=xl/worksheets/_rels/sheet159.xml.rels><?xml version="1.0" encoding="UTF-8"?>
<Relationships xmlns="http://schemas.openxmlformats.org/package/2006/relationships"><Relationship Id="rId1" Type="http://schemas.openxmlformats.org/officeDocument/2006/relationships/comments" Target="../comments159.xml"/><Relationship Id="rId2" Type="http://schemas.openxmlformats.org/officeDocument/2006/relationships/vmlDrawing" Target="../drawings/vmlDrawing118.vml"/>
</Relationships>
</file>

<file path=xl/worksheets/_rels/sheet167.xml.rels><?xml version="1.0" encoding="UTF-8"?>
<Relationships xmlns="http://schemas.openxmlformats.org/package/2006/relationships"><Relationship Id="rId1" Type="http://schemas.openxmlformats.org/officeDocument/2006/relationships/comments" Target="../comments167.xml"/><Relationship Id="rId2" Type="http://schemas.openxmlformats.org/officeDocument/2006/relationships/vmlDrawing" Target="../drawings/vmlDrawing119.vml"/>
</Relationships>
</file>

<file path=xl/worksheets/_rels/sheet168.xml.rels><?xml version="1.0" encoding="UTF-8"?>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7.xml"/><Relationship Id="rId3" Type="http://schemas.openxmlformats.org/officeDocument/2006/relationships/vmlDrawing" Target="../drawings/vmlDrawing120.vml"/>
</Relationships>
</file>

<file path=xl/worksheets/_rels/sheet169.xml.rels><?xml version="1.0" encoding="UTF-8"?>
<Relationships xmlns="http://schemas.openxmlformats.org/package/2006/relationships"><Relationship Id="rId1" Type="http://schemas.openxmlformats.org/officeDocument/2006/relationships/comments" Target="../comments169.xml"/><Relationship Id="rId2" Type="http://schemas.openxmlformats.org/officeDocument/2006/relationships/vmlDrawing" Target="../drawings/vmlDrawing121.vml"/>
</Relationships>
</file>

<file path=xl/worksheets/_rels/sheet170.xml.rels><?xml version="1.0" encoding="UTF-8"?>
<Relationships xmlns="http://schemas.openxmlformats.org/package/2006/relationships"><Relationship Id="rId1" Type="http://schemas.openxmlformats.org/officeDocument/2006/relationships/comments" Target="../comments170.xml"/><Relationship Id="rId2" Type="http://schemas.openxmlformats.org/officeDocument/2006/relationships/vmlDrawing" Target="../drawings/vmlDrawing122.vml"/>
</Relationships>
</file>

<file path=xl/worksheets/_rels/sheet171.xml.rels><?xml version="1.0" encoding="UTF-8"?>
<Relationships xmlns="http://schemas.openxmlformats.org/package/2006/relationships"><Relationship Id="rId1" Type="http://schemas.openxmlformats.org/officeDocument/2006/relationships/comments" Target="../comments171.xml"/><Relationship Id="rId2" Type="http://schemas.openxmlformats.org/officeDocument/2006/relationships/vmlDrawing" Target="../drawings/vmlDrawing123.vml"/>
</Relationships>
</file>

<file path=xl/worksheets/_rels/sheet173.xml.rels><?xml version="1.0" encoding="UTF-8"?>
<Relationships xmlns="http://schemas.openxmlformats.org/package/2006/relationships"><Relationship Id="rId1" Type="http://schemas.openxmlformats.org/officeDocument/2006/relationships/comments" Target="../comments173.xml"/><Relationship Id="rId2" Type="http://schemas.openxmlformats.org/officeDocument/2006/relationships/vmlDrawing" Target="../drawings/vmlDrawing124.vml"/>
</Relationships>
</file>

<file path=xl/worksheets/_rels/sheet176.xml.rels><?xml version="1.0" encoding="UTF-8"?>
<Relationships xmlns="http://schemas.openxmlformats.org/package/2006/relationships"><Relationship Id="rId1" Type="http://schemas.openxmlformats.org/officeDocument/2006/relationships/comments" Target="../comments176.xml"/><Relationship Id="rId2" Type="http://schemas.openxmlformats.org/officeDocument/2006/relationships/vmlDrawing" Target="../drawings/vmlDrawing125.vml"/>
</Relationships>
</file>

<file path=xl/worksheets/_rels/sheet177.xml.rels><?xml version="1.0" encoding="UTF-8"?>
<Relationships xmlns="http://schemas.openxmlformats.org/package/2006/relationships"><Relationship Id="rId1" Type="http://schemas.openxmlformats.org/officeDocument/2006/relationships/comments" Target="../comments177.xml"/><Relationship Id="rId2" Type="http://schemas.openxmlformats.org/officeDocument/2006/relationships/vmlDrawing" Target="../drawings/vmlDrawing126.vml"/>
</Relationships>
</file>

<file path=xl/worksheets/_rels/sheet178.xml.rels><?xml version="1.0" encoding="UTF-8"?>
<Relationships xmlns="http://schemas.openxmlformats.org/package/2006/relationships"><Relationship Id="rId1" Type="http://schemas.openxmlformats.org/officeDocument/2006/relationships/comments" Target="../comments178.xml"/><Relationship Id="rId2" Type="http://schemas.openxmlformats.org/officeDocument/2006/relationships/vmlDrawing" Target="../drawings/vmlDrawing127.vml"/>
</Relationships>
</file>

<file path=xl/worksheets/_rels/sheet179.xml.rels><?xml version="1.0" encoding="UTF-8"?>
<Relationships xmlns="http://schemas.openxmlformats.org/package/2006/relationships"><Relationship Id="rId1" Type="http://schemas.openxmlformats.org/officeDocument/2006/relationships/comments" Target="../comments179.xml"/><Relationship Id="rId2" Type="http://schemas.openxmlformats.org/officeDocument/2006/relationships/vmlDrawing" Target="../drawings/vmlDrawing128.vml"/>
</Relationships>
</file>

<file path=xl/worksheets/_rels/sheet181.xml.rels><?xml version="1.0" encoding="UTF-8"?>
<Relationships xmlns="http://schemas.openxmlformats.org/package/2006/relationships"><Relationship Id="rId1" Type="http://schemas.openxmlformats.org/officeDocument/2006/relationships/comments" Target="../comments181.xml"/><Relationship Id="rId2" Type="http://schemas.openxmlformats.org/officeDocument/2006/relationships/vmlDrawing" Target="../drawings/vmlDrawing129.vml"/>
</Relationships>
</file>

<file path=xl/worksheets/_rels/sheet183.xml.rels><?xml version="1.0" encoding="UTF-8"?>
<Relationships xmlns="http://schemas.openxmlformats.org/package/2006/relationships"><Relationship Id="rId1" Type="http://schemas.openxmlformats.org/officeDocument/2006/relationships/comments" Target="../comments183.xml"/><Relationship Id="rId2" Type="http://schemas.openxmlformats.org/officeDocument/2006/relationships/vmlDrawing" Target="../drawings/vmlDrawing130.vml"/>
</Relationships>
</file>

<file path=xl/worksheets/_rels/sheet185.xml.rels><?xml version="1.0" encoding="UTF-8"?>
<Relationships xmlns="http://schemas.openxmlformats.org/package/2006/relationships"><Relationship Id="rId1" Type="http://schemas.openxmlformats.org/officeDocument/2006/relationships/comments" Target="../comments185.xml"/><Relationship Id="rId2" Type="http://schemas.openxmlformats.org/officeDocument/2006/relationships/vmlDrawing" Target="../drawings/vmlDrawing131.vml"/>
</Relationships>
</file>

<file path=xl/worksheets/_rels/sheet186.xml.rels><?xml version="1.0" encoding="UTF-8"?>
<Relationships xmlns="http://schemas.openxmlformats.org/package/2006/relationships"><Relationship Id="rId1" Type="http://schemas.openxmlformats.org/officeDocument/2006/relationships/comments" Target="../comments186.xml"/><Relationship Id="rId2" Type="http://schemas.openxmlformats.org/officeDocument/2006/relationships/vmlDrawing" Target="../drawings/vmlDrawing132.vml"/>
</Relationships>
</file>

<file path=xl/worksheets/_rels/sheet187.xml.rels><?xml version="1.0" encoding="UTF-8"?>
<Relationships xmlns="http://schemas.openxmlformats.org/package/2006/relationships"><Relationship Id="rId1" Type="http://schemas.openxmlformats.org/officeDocument/2006/relationships/comments" Target="../comments187.xml"/><Relationship Id="rId2" Type="http://schemas.openxmlformats.org/officeDocument/2006/relationships/vmlDrawing" Target="../drawings/vmlDrawing133.vml"/>
</Relationships>
</file>

<file path=xl/worksheets/_rels/sheet188.xml.rels><?xml version="1.0" encoding="UTF-8"?>
<Relationships xmlns="http://schemas.openxmlformats.org/package/2006/relationships"><Relationship Id="rId1" Type="http://schemas.openxmlformats.org/officeDocument/2006/relationships/comments" Target="../comments188.xml"/><Relationship Id="rId2" Type="http://schemas.openxmlformats.org/officeDocument/2006/relationships/vmlDrawing" Target="../drawings/vmlDrawing134.vml"/>
</Relationships>
</file>

<file path=xl/worksheets/_rels/sheet189.xml.rels><?xml version="1.0" encoding="UTF-8"?>
<Relationships xmlns="http://schemas.openxmlformats.org/package/2006/relationships"><Relationship Id="rId1" Type="http://schemas.openxmlformats.org/officeDocument/2006/relationships/comments" Target="../comments189.xml"/><Relationship Id="rId2" Type="http://schemas.openxmlformats.org/officeDocument/2006/relationships/vmlDrawing" Target="../drawings/vmlDrawing135.vml"/>
</Relationships>
</file>

<file path=xl/worksheets/_rels/sheet190.xml.rels><?xml version="1.0" encoding="UTF-8"?>
<Relationships xmlns="http://schemas.openxmlformats.org/package/2006/relationships"><Relationship Id="rId1" Type="http://schemas.openxmlformats.org/officeDocument/2006/relationships/comments" Target="../comments190.xml"/><Relationship Id="rId2" Type="http://schemas.openxmlformats.org/officeDocument/2006/relationships/vmlDrawing" Target="../drawings/vmlDrawing136.vml"/>
</Relationships>
</file>

<file path=xl/worksheets/_rels/sheet191.xml.rels><?xml version="1.0" encoding="UTF-8"?>
<Relationships xmlns="http://schemas.openxmlformats.org/package/2006/relationships"><Relationship Id="rId1" Type="http://schemas.openxmlformats.org/officeDocument/2006/relationships/comments" Target="../comments191.xml"/><Relationship Id="rId2" Type="http://schemas.openxmlformats.org/officeDocument/2006/relationships/vmlDrawing" Target="../drawings/vmlDrawing137.vml"/>
</Relationships>
</file>

<file path=xl/worksheets/_rels/sheet194.xml.rels><?xml version="1.0" encoding="UTF-8"?>
<Relationships xmlns="http://schemas.openxmlformats.org/package/2006/relationships"><Relationship Id="rId1" Type="http://schemas.openxmlformats.org/officeDocument/2006/relationships/drawing" Target="../drawings/drawing18.xml"/>
</Relationships>
</file>

<file path=xl/worksheets/_rels/sheet195.xml.rels><?xml version="1.0" encoding="UTF-8"?>
<Relationships xmlns="http://schemas.openxmlformats.org/package/2006/relationships"><Relationship Id="rId1" Type="http://schemas.openxmlformats.org/officeDocument/2006/relationships/drawing" Target="../drawings/drawing19.xml"/>
</Relationships>
</file>

<file path=xl/worksheets/_rels/sheet196.xml.rels><?xml version="1.0" encoding="UTF-8"?>
<Relationships xmlns="http://schemas.openxmlformats.org/package/2006/relationships"><Relationship Id="rId1" Type="http://schemas.openxmlformats.org/officeDocument/2006/relationships/table" Target="../tables/table6.xml"/>
</Relationships>
</file>

<file path=xl/worksheets/_rels/sheet197.xml.rels><?xml version="1.0" encoding="UTF-8"?>
<Relationships xmlns="http://schemas.openxmlformats.org/package/2006/relationships"><Relationship Id="rId1" Type="http://schemas.openxmlformats.org/officeDocument/2006/relationships/comments" Target="../comments197.xml"/><Relationship Id="rId2" Type="http://schemas.openxmlformats.org/officeDocument/2006/relationships/vmlDrawing" Target="../drawings/vmlDrawing138.vml"/>
</Relationships>
</file>

<file path=xl/worksheets/_rels/sheet198.xml.rels><?xml version="1.0" encoding="UTF-8"?>
<Relationships xmlns="http://schemas.openxmlformats.org/package/2006/relationships"><Relationship Id="rId1" Type="http://schemas.openxmlformats.org/officeDocument/2006/relationships/comments" Target="../comments198.xml"/><Relationship Id="rId2" Type="http://schemas.openxmlformats.org/officeDocument/2006/relationships/vmlDrawing" Target="../drawings/vmlDrawing139.vml"/>
</Relationships>
</file>

<file path=xl/worksheets/_rels/sheet201.xml.rels><?xml version="1.0" encoding="UTF-8"?>
<Relationships xmlns="http://schemas.openxmlformats.org/package/2006/relationships"><Relationship Id="rId1" Type="http://schemas.openxmlformats.org/officeDocument/2006/relationships/comments" Target="../comments201.xml"/><Relationship Id="rId2" Type="http://schemas.openxmlformats.org/officeDocument/2006/relationships/vmlDrawing" Target="../drawings/vmlDrawing140.vml"/>
</Relationships>
</file>

<file path=xl/worksheets/_rels/sheet202.xml.rels><?xml version="1.0" encoding="UTF-8"?>
<Relationships xmlns="http://schemas.openxmlformats.org/package/2006/relationships"><Relationship Id="rId1" Type="http://schemas.openxmlformats.org/officeDocument/2006/relationships/comments" Target="../comments202.xml"/><Relationship Id="rId2" Type="http://schemas.openxmlformats.org/officeDocument/2006/relationships/vmlDrawing" Target="../drawings/vmlDrawing141.vml"/>
</Relationships>
</file>

<file path=xl/worksheets/_rels/sheet203.xml.rels><?xml version="1.0" encoding="UTF-8"?>
<Relationships xmlns="http://schemas.openxmlformats.org/package/2006/relationships"><Relationship Id="rId1" Type="http://schemas.openxmlformats.org/officeDocument/2006/relationships/comments" Target="../comments203.xml"/><Relationship Id="rId2" Type="http://schemas.openxmlformats.org/officeDocument/2006/relationships/vmlDrawing" Target="../drawings/vmlDrawing142.vml"/>
</Relationships>
</file>

<file path=xl/worksheets/_rels/sheet204.xml.rels><?xml version="1.0" encoding="UTF-8"?>
<Relationships xmlns="http://schemas.openxmlformats.org/package/2006/relationships"><Relationship Id="rId1" Type="http://schemas.openxmlformats.org/officeDocument/2006/relationships/comments" Target="../comments204.xml"/><Relationship Id="rId2" Type="http://schemas.openxmlformats.org/officeDocument/2006/relationships/vmlDrawing" Target="../drawings/vmlDrawing143.vml"/>
</Relationships>
</file>

<file path=xl/worksheets/_rels/sheet205.xml.rels><?xml version="1.0" encoding="UTF-8"?>
<Relationships xmlns="http://schemas.openxmlformats.org/package/2006/relationships"><Relationship Id="rId1" Type="http://schemas.openxmlformats.org/officeDocument/2006/relationships/comments" Target="../comments205.xml"/><Relationship Id="rId2" Type="http://schemas.openxmlformats.org/officeDocument/2006/relationships/vmlDrawing" Target="../drawings/vmlDrawing144.vml"/>
</Relationships>
</file>

<file path=xl/worksheets/_rels/sheet206.xml.rels><?xml version="1.0" encoding="UTF-8"?>
<Relationships xmlns="http://schemas.openxmlformats.org/package/2006/relationships"><Relationship Id="rId1" Type="http://schemas.openxmlformats.org/officeDocument/2006/relationships/comments" Target="../comments206.xml"/><Relationship Id="rId2" Type="http://schemas.openxmlformats.org/officeDocument/2006/relationships/vmlDrawing" Target="../drawings/vmlDrawing145.vml"/>
</Relationships>
</file>

<file path=xl/worksheets/_rels/sheet207.xml.rels><?xml version="1.0" encoding="UTF-8"?>
<Relationships xmlns="http://schemas.openxmlformats.org/package/2006/relationships"><Relationship Id="rId1" Type="http://schemas.openxmlformats.org/officeDocument/2006/relationships/comments" Target="../comments207.xml"/><Relationship Id="rId2" Type="http://schemas.openxmlformats.org/officeDocument/2006/relationships/vmlDrawing" Target="../drawings/vmlDrawing146.vml"/>
</Relationships>
</file>

<file path=xl/worksheets/_rels/sheet208.xml.rels><?xml version="1.0" encoding="UTF-8"?>
<Relationships xmlns="http://schemas.openxmlformats.org/package/2006/relationships"><Relationship Id="rId1" Type="http://schemas.openxmlformats.org/officeDocument/2006/relationships/comments" Target="../comments208.xml"/><Relationship Id="rId2" Type="http://schemas.openxmlformats.org/officeDocument/2006/relationships/vmlDrawing" Target="../drawings/vmlDrawing147.vml"/>
</Relationships>
</file>

<file path=xl/worksheets/_rels/sheet209.xml.rels><?xml version="1.0" encoding="UTF-8"?>
<Relationships xmlns="http://schemas.openxmlformats.org/package/2006/relationships"><Relationship Id="rId1" Type="http://schemas.openxmlformats.org/officeDocument/2006/relationships/comments" Target="../comments209.xml"/><Relationship Id="rId2" Type="http://schemas.openxmlformats.org/officeDocument/2006/relationships/vmlDrawing" Target="../drawings/vmlDrawing148.vml"/>
</Relationships>
</file>

<file path=xl/worksheets/_rels/sheet210.xml.rels><?xml version="1.0" encoding="UTF-8"?>
<Relationships xmlns="http://schemas.openxmlformats.org/package/2006/relationships"><Relationship Id="rId1" Type="http://schemas.openxmlformats.org/officeDocument/2006/relationships/comments" Target="../comments210.xml"/><Relationship Id="rId2" Type="http://schemas.openxmlformats.org/officeDocument/2006/relationships/vmlDrawing" Target="../drawings/vmlDrawing149.vml"/>
</Relationships>
</file>

<file path=xl/worksheets/_rels/sheet211.xml.rels><?xml version="1.0" encoding="UTF-8"?>
<Relationships xmlns="http://schemas.openxmlformats.org/package/2006/relationships"><Relationship Id="rId1" Type="http://schemas.openxmlformats.org/officeDocument/2006/relationships/comments" Target="../comments211.xml"/><Relationship Id="rId2" Type="http://schemas.openxmlformats.org/officeDocument/2006/relationships/vmlDrawing" Target="../drawings/vmlDrawing150.vml"/>
</Relationships>
</file>

<file path=xl/worksheets/_rels/sheet213.xml.rels><?xml version="1.0" encoding="UTF-8"?>
<Relationships xmlns="http://schemas.openxmlformats.org/package/2006/relationships"><Relationship Id="rId1" Type="http://schemas.openxmlformats.org/officeDocument/2006/relationships/comments" Target="../comments213.xml"/><Relationship Id="rId2" Type="http://schemas.openxmlformats.org/officeDocument/2006/relationships/vmlDrawing" Target="../drawings/vmlDrawing15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D2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96" activePane="bottomLeft" state="frozen"/>
      <selection pane="topLeft" activeCell="A1" activeCellId="0" sqref="A1"/>
      <selection pane="bottomLeft" activeCell="A121" activeCellId="0" sqref="A121"/>
    </sheetView>
  </sheetViews>
  <sheetFormatPr defaultColWidth="9.36328125" defaultRowHeight="15" customHeight="true" zeroHeight="false" outlineLevelRow="0" outlineLevelCol="0"/>
  <cols>
    <col collapsed="false" customWidth="true" hidden="false" outlineLevel="0" max="1" min="1" style="1" width="54.36"/>
    <col collapsed="false" customWidth="true" hidden="false" outlineLevel="0" max="2" min="2" style="1" width="14.63"/>
    <col collapsed="false" customWidth="true" hidden="false" outlineLevel="0" max="3" min="3" style="1" width="88.45"/>
    <col collapsed="false" customWidth="true" hidden="false" outlineLevel="0" max="4" min="4" style="1" width="17.63"/>
    <col collapsed="false" customWidth="false" hidden="false" outlineLevel="0" max="16384" min="5" style="1" width="9.36"/>
  </cols>
  <sheetData>
    <row r="1" customFormat="false" ht="15" hidden="false" customHeight="true" outlineLevel="0" collapsed="false">
      <c r="A1" s="2" t="s">
        <v>0</v>
      </c>
      <c r="B1" s="2" t="s">
        <v>1</v>
      </c>
      <c r="C1" s="2" t="s">
        <v>2</v>
      </c>
      <c r="D1" s="2" t="s">
        <v>3</v>
      </c>
    </row>
    <row r="2" customFormat="false" ht="15" hidden="false" customHeight="true" outlineLevel="0" collapsed="false">
      <c r="A2" s="3" t="s">
        <v>4</v>
      </c>
      <c r="B2" s="4" t="str">
        <f aca="false">IF(LEFT(Table2[[#This Row],[Tab Name]],4)="&lt;SM&gt;","Static Model",IF(LEFT(Table2[[#This Row],[Tab Name]],4)="&lt;DM&gt;","Dynamic Model",IF(LEFT(Table2[[#This Row],[Tab Name]],4)="&lt;ST&gt;","Smart Table",IF(LEFT(Table2[[#This Row],[Tab Name]],4)="&lt;GT&gt;","Generic Table",""))))</f>
        <v/>
      </c>
      <c r="C2" s="3" t="s">
        <v>5</v>
      </c>
      <c r="D2" s="3" t="n">
        <v>0</v>
      </c>
    </row>
    <row r="3" customFormat="false" ht="15" hidden="false" customHeight="true" outlineLevel="0" collapsed="false">
      <c r="A3" s="5" t="s">
        <v>6</v>
      </c>
      <c r="B3" s="6"/>
      <c r="C3" s="5" t="s">
        <v>7</v>
      </c>
      <c r="D3" s="5" t="n">
        <v>0</v>
      </c>
    </row>
    <row r="4" customFormat="false" ht="15" hidden="false" customHeight="true" outlineLevel="0" collapsed="false">
      <c r="A4" s="7" t="s">
        <v>8</v>
      </c>
      <c r="B4" s="8" t="str">
        <f aca="false">IF(LEFT(Table2[[#This Row],[Tab Name]],4)="&lt;SM&gt;","Static Model",IF(LEFT(Table2[[#This Row],[Tab Name]],4)="&lt;DM&gt;","Dynamic Model",IF(LEFT(Table2[[#This Row],[Tab Name]],4)="&lt;ST&gt;","Smart Table",IF(LEFT(Table2[[#This Row],[Tab Name]],4)="&lt;GT&gt;","Generic Table",""))))</f>
        <v/>
      </c>
      <c r="C4" s="7" t="s">
        <v>9</v>
      </c>
      <c r="D4" s="7" t="n">
        <f aca="false">IF(LEFT(Table2[[#This Row],[Tab Name]],1)="&lt;",D2+1,D2)</f>
        <v>0</v>
      </c>
    </row>
    <row r="5" customFormat="false" ht="15" hidden="false" customHeight="true" outlineLevel="0" collapsed="false">
      <c r="A5" s="7" t="s">
        <v>10</v>
      </c>
      <c r="B5" s="8" t="str">
        <f aca="false">IF(LEFT(Table2[[#This Row],[Tab Name]],4)="&lt;SM&gt;","Static Model",IF(LEFT(Table2[[#This Row],[Tab Name]],4)="&lt;DM&gt;","Dynamic Model",IF(LEFT(Table2[[#This Row],[Tab Name]],4)="&lt;ST&gt;","Smart Table",IF(LEFT(Table2[[#This Row],[Tab Name]],4)="&lt;GT&gt;","Generic Table",""))))</f>
        <v/>
      </c>
      <c r="C5" s="7" t="s">
        <v>11</v>
      </c>
      <c r="D5" s="7" t="n">
        <f aca="false">IF(LEFT(Table2[[#This Row],[Tab Name]],1)="&lt;",D4+1,D4)</f>
        <v>0</v>
      </c>
    </row>
    <row r="6" customFormat="false" ht="15" hidden="false" customHeight="true" outlineLevel="0" collapsed="false">
      <c r="A6" s="7" t="s">
        <v>12</v>
      </c>
      <c r="B6" s="8" t="str">
        <f aca="false">IF(LEFT(Table2[[#This Row],[Tab Name]],4)="&lt;SM&gt;","Static Model",IF(LEFT(Table2[[#This Row],[Tab Name]],4)="&lt;DM&gt;","Dynamic Model",IF(LEFT(Table2[[#This Row],[Tab Name]],4)="&lt;ST&gt;","Smart Table",IF(LEFT(Table2[[#This Row],[Tab Name]],4)="&lt;GT&gt;","Generic Table",""))))</f>
        <v/>
      </c>
      <c r="C6" s="7"/>
      <c r="D6" s="7" t="n">
        <f aca="false">IF(LEFT(Table2[[#This Row],[Tab Name]],1)="&lt;",D5+1,D5)</f>
        <v>0</v>
      </c>
    </row>
    <row r="7" customFormat="false" ht="60" hidden="false" customHeight="true" outlineLevel="0" collapsed="false">
      <c r="A7" s="7" t="s">
        <v>13</v>
      </c>
      <c r="B7" s="8" t="str">
        <f aca="false">IF(LEFT(Table2[[#This Row],[Tab Name]],4)="&lt;SM&gt;","Static Model",IF(LEFT(Table2[[#This Row],[Tab Name]],4)="&lt;DM&gt;","Dynamic Model",IF(LEFT(Table2[[#This Row],[Tab Name]],4)="&lt;ST&gt;","Smart Table",IF(LEFT(Table2[[#This Row],[Tab Name]],4)="&lt;GT&gt;","Generic Table",""))))</f>
        <v/>
      </c>
      <c r="C7" s="9" t="s">
        <v>14</v>
      </c>
      <c r="D7" s="7" t="n">
        <f aca="false">IF(LEFT(Table2[[#This Row],[Tab Name]],1)="&lt;",D6+1,D6)</f>
        <v>0</v>
      </c>
    </row>
    <row r="8" customFormat="false" ht="15" hidden="false" customHeight="false" outlineLevel="0" collapsed="false">
      <c r="A8" s="7" t="s">
        <v>15</v>
      </c>
      <c r="B8" s="8" t="str">
        <f aca="false">IF(LEFT(Table2[[#This Row],[Tab Name]],4)="&lt;SM&gt;","Static Model",IF(LEFT(Table2[[#This Row],[Tab Name]],4)="&lt;DM&gt;","Dynamic Model",IF(LEFT(Table2[[#This Row],[Tab Name]],4)="&lt;ST&gt;","Smart Table",IF(LEFT(Table2[[#This Row],[Tab Name]],4)="&lt;GT&gt;","Generic Table",""))))</f>
        <v/>
      </c>
      <c r="C8" s="9"/>
      <c r="D8" s="7" t="n">
        <f aca="false">IF(LEFT(Table2[[#This Row],[Tab Name]],1)="&lt;",D7+1,D7)</f>
        <v>0</v>
      </c>
    </row>
    <row r="9" customFormat="false" ht="15" hidden="false" customHeight="true" outlineLevel="0" collapsed="false">
      <c r="A9" s="1" t="s">
        <v>16</v>
      </c>
      <c r="B9" s="1" t="str">
        <f aca="false">IF(LEFT(Table2[[#This Row],[Tab Name]],4)="&lt;SM&gt;","Static Model",IF(LEFT(Table2[[#This Row],[Tab Name]],4)="&lt;DM&gt;","Dynamic Model",IF(LEFT(Table2[[#This Row],[Tab Name]],4)="&lt;ST&gt;","Smart Table",IF(LEFT(Table2[[#This Row],[Tab Name]],4)="&lt;GT&gt;","Generic Table",""))))</f>
        <v>Static Model</v>
      </c>
      <c r="C9" s="1" t="str">
        <f aca="false">CONCATENATE(MID(A9,5,1000)," details to be created in the system")</f>
        <v>Config details to be created in the system</v>
      </c>
      <c r="D9" s="7" t="n">
        <f aca="false">IF(LEFT(Table2[[#This Row],[Tab Name]],1)="&lt;",D8+1,D8)</f>
        <v>1</v>
      </c>
    </row>
    <row r="10" customFormat="false" ht="15" hidden="false" customHeight="true" outlineLevel="0" collapsed="false">
      <c r="A10" s="1" t="s">
        <v>17</v>
      </c>
      <c r="B10" s="1" t="str">
        <f aca="false">IF(LEFT(Table2[[#This Row],[Tab Name]],4)="&lt;SM&gt;","Static Model",IF(LEFT(Table2[[#This Row],[Tab Name]],4)="&lt;DM&gt;","Dynamic Model",IF(LEFT(Table2[[#This Row],[Tab Name]],4)="&lt;ST&gt;","Smart Table",IF(LEFT(Table2[[#This Row],[Tab Name]],4)="&lt;GT&gt;","Generic Table",""))))</f>
        <v>Static Model</v>
      </c>
      <c r="C10" s="1" t="str">
        <f aca="false">CONCATENATE(MID(A10,5,1000)," details to be created in the system")</f>
        <v>Role details to be created in the system</v>
      </c>
      <c r="D10" s="7" t="n">
        <f aca="false">IF(LEFT(Table2[[#This Row],[Tab Name]],1)="&lt;",D9+1,D9)</f>
        <v>2</v>
      </c>
    </row>
    <row r="11" customFormat="false" ht="15" hidden="false" customHeight="true" outlineLevel="0" collapsed="false">
      <c r="A11" s="1" t="s">
        <v>18</v>
      </c>
      <c r="B11" s="1" t="str">
        <f aca="false">IF(LEFT(Table2[[#This Row],[Tab Name]],4)="&lt;SM&gt;","Static Model",IF(LEFT(Table2[[#This Row],[Tab Name]],4)="&lt;DM&gt;","Dynamic Model",IF(LEFT(Table2[[#This Row],[Tab Name]],4)="&lt;ST&gt;","Smart Table",IF(LEFT(Table2[[#This Row],[Tab Name]],4)="&lt;GT&gt;","Generic Table",""))))</f>
        <v>Static Model</v>
      </c>
      <c r="C11" s="1" t="str">
        <f aca="false">CONCATENATE(MID(A11,5,1000)," details to be created in the system")</f>
        <v>Features details to be created in the system</v>
      </c>
      <c r="D11" s="7" t="n">
        <f aca="false">IF(LEFT(Table2[[#This Row],[Tab Name]],1)="&lt;",D10+1,D10)</f>
        <v>3</v>
      </c>
    </row>
    <row r="12" customFormat="false" ht="15" hidden="false" customHeight="true" outlineLevel="0" collapsed="false">
      <c r="A12" s="1" t="s">
        <v>19</v>
      </c>
      <c r="B12" s="1" t="str">
        <f aca="false">IF(LEFT(Table2[[#This Row],[Tab Name]],4)="&lt;SM&gt;","Static Model",IF(LEFT(Table2[[#This Row],[Tab Name]],4)="&lt;DM&gt;","Dynamic Model",IF(LEFT(Table2[[#This Row],[Tab Name]],4)="&lt;ST&gt;","Smart Table",IF(LEFT(Table2[[#This Row],[Tab Name]],4)="&lt;GT&gt;","Generic Table",""))))</f>
        <v>Static Model</v>
      </c>
      <c r="C12" s="1" t="str">
        <f aca="false">CONCATENATE(MID(A12,5,1000)," details to be created in the system")</f>
        <v>DataGroup details to be created in the system</v>
      </c>
      <c r="D12" s="7" t="n">
        <f aca="false">IF(LEFT(Table2[[#This Row],[Tab Name]],1)="&lt;",D11+1,D11)</f>
        <v>4</v>
      </c>
    </row>
    <row r="13" customFormat="false" ht="15" hidden="false" customHeight="true" outlineLevel="0" collapsed="false">
      <c r="A13" s="1" t="s">
        <v>20</v>
      </c>
      <c r="B13" s="1" t="str">
        <f aca="false">IF(LEFT(Table2[[#This Row],[Tab Name]],4)="&lt;SM&gt;","Static Model",IF(LEFT(Table2[[#This Row],[Tab Name]],4)="&lt;DM&gt;","Dynamic Model",IF(LEFT(Table2[[#This Row],[Tab Name]],4)="&lt;ST&gt;","Smart Table",IF(LEFT(Table2[[#This Row],[Tab Name]],4)="&lt;GT&gt;","Generic Table",""))))</f>
        <v>Static Model</v>
      </c>
      <c r="C13" s="1" t="str">
        <f aca="false">CONCATENATE(MID(A13,5,1000)," details to be created in the system")</f>
        <v>User details to be created in the system</v>
      </c>
      <c r="D13" s="7" t="n">
        <f aca="false">IF(LEFT(Table2[[#This Row],[Tab Name]],1)="&lt;",D12+1,D12)</f>
        <v>5</v>
      </c>
    </row>
    <row r="14" customFormat="false" ht="15" hidden="false" customHeight="true" outlineLevel="0" collapsed="false">
      <c r="A14" s="1" t="s">
        <v>21</v>
      </c>
      <c r="B14" s="1" t="str">
        <f aca="false">IF(LEFT(Table2[[#This Row],[Tab Name]],4)="&lt;SM&gt;","Static Model",IF(LEFT(Table2[[#This Row],[Tab Name]],4)="&lt;DM&gt;","Dynamic Model",IF(LEFT(Table2[[#This Row],[Tab Name]],4)="&lt;ST&gt;","Smart Table",IF(LEFT(Table2[[#This Row],[Tab Name]],4)="&lt;GT&gt;","Generic Table",""))))</f>
        <v>Static Model</v>
      </c>
      <c r="C14" s="1" t="str">
        <f aca="false">CONCATENATE(MID(A14,5,1000)," details to be created in the system")</f>
        <v>ReportFolder details to be created in the system</v>
      </c>
      <c r="D14" s="7" t="n">
        <f aca="false">IF(LEFT(Table2[[#This Row],[Tab Name]],1)="&lt;",D13+1,D13)</f>
        <v>6</v>
      </c>
    </row>
    <row r="15" customFormat="false" ht="15" hidden="false" customHeight="true" outlineLevel="0" collapsed="false">
      <c r="A15" s="1" t="s">
        <v>22</v>
      </c>
      <c r="B15" s="1" t="str">
        <f aca="false">IF(LEFT(Table2[[#This Row],[Tab Name]],4)="&lt;SM&gt;","Static Model",IF(LEFT(Table2[[#This Row],[Tab Name]],4)="&lt;DM&gt;","Dynamic Model",IF(LEFT(Table2[[#This Row],[Tab Name]],4)="&lt;ST&gt;","Smart Table",IF(LEFT(Table2[[#This Row],[Tab Name]],4)="&lt;GT&gt;","Generic Table",""))))</f>
        <v>Static Model</v>
      </c>
      <c r="C15" s="1" t="str">
        <f aca="false">CONCATENATE(MID(A15,5,1000)," details to be created in the system")</f>
        <v>LookupTableValues details to be created in the system</v>
      </c>
      <c r="D15" s="7" t="n">
        <f aca="false">IF(LEFT(Table2[[#This Row],[Tab Name]],1)="&lt;",D14+1,D14)</f>
        <v>7</v>
      </c>
    </row>
    <row r="16" customFormat="false" ht="15" hidden="false" customHeight="true" outlineLevel="0" collapsed="false">
      <c r="A16" s="1" t="s">
        <v>23</v>
      </c>
      <c r="B16" s="1" t="str">
        <f aca="false">IF(LEFT(Table2[[#This Row],[Tab Name]],4)="&lt;SM&gt;","Static Model",IF(LEFT(Table2[[#This Row],[Tab Name]],4)="&lt;DM&gt;","Dynamic Model",IF(LEFT(Table2[[#This Row],[Tab Name]],4)="&lt;ST&gt;","Smart Table",IF(LEFT(Table2[[#This Row],[Tab Name]],4)="&lt;GT&gt;","Generic Table",""))))</f>
        <v>Static Model</v>
      </c>
      <c r="C16" s="1" t="str">
        <f aca="false">CONCATENATE(MID(A16,5,1000)," details to be created in the system")</f>
        <v>LocalizedMessageKey details to be created in the system</v>
      </c>
      <c r="D16" s="7" t="n">
        <f aca="false">IF(LEFT(Table2[[#This Row],[Tab Name]],1)="&lt;",D15+1,D15)</f>
        <v>8</v>
      </c>
    </row>
    <row r="17" customFormat="false" ht="15" hidden="false" customHeight="true" outlineLevel="0" collapsed="false">
      <c r="A17" s="1" t="s">
        <v>24</v>
      </c>
      <c r="B17" s="1" t="str">
        <f aca="false">IF(LEFT(Table2[[#This Row],[Tab Name]],4)="&lt;SM&gt;","Static Model",IF(LEFT(Table2[[#This Row],[Tab Name]],4)="&lt;DM&gt;","Dynamic Model",IF(LEFT(Table2[[#This Row],[Tab Name]],4)="&lt;ST&gt;","Smart Table",IF(LEFT(Table2[[#This Row],[Tab Name]],4)="&lt;GT&gt;","Generic Table",""))))</f>
        <v>Static Model</v>
      </c>
      <c r="C17" s="1" t="str">
        <f aca="false">CONCATENATE(MID(A17,5,1000)," details to be created in the system")</f>
        <v>EntityType details to be created in the system</v>
      </c>
      <c r="D17" s="7" t="n">
        <f aca="false">IF(LEFT(Table2[[#This Row],[Tab Name]],1)="&lt;",D16+1,D16)</f>
        <v>9</v>
      </c>
    </row>
    <row r="18" customFormat="false" ht="15" hidden="false" customHeight="true" outlineLevel="0" collapsed="false">
      <c r="A18" s="1" t="s">
        <v>25</v>
      </c>
      <c r="B18" s="1" t="str">
        <f aca="false">IF(LEFT(Table2[[#This Row],[Tab Name]],4)="&lt;SM&gt;","Static Model",IF(LEFT(Table2[[#This Row],[Tab Name]],4)="&lt;DM&gt;","Dynamic Model",IF(LEFT(Table2[[#This Row],[Tab Name]],4)="&lt;ST&gt;","Smart Table",IF(LEFT(Table2[[#This Row],[Tab Name]],4)="&lt;GT&gt;","Generic Table",""))))</f>
        <v>Static Model</v>
      </c>
      <c r="C18" s="1" t="str">
        <f aca="false">CONCATENATE(MID(A18,5,1000)," details to be created in the system")</f>
        <v>EntityTypeProperty details to be created in the system</v>
      </c>
      <c r="D18" s="7" t="n">
        <f aca="false">IF(LEFT(Table2[[#This Row],[Tab Name]],1)="&lt;",D17+1,D17)</f>
        <v>10</v>
      </c>
    </row>
    <row r="19" customFormat="false" ht="15" hidden="false" customHeight="true" outlineLevel="0" collapsed="false">
      <c r="A19" s="1" t="s">
        <v>26</v>
      </c>
      <c r="B19" s="1" t="str">
        <f aca="false">IF(LEFT(Table2[[#This Row],[Tab Name]],4)="&lt;SM&gt;","Static Model",IF(LEFT(Table2[[#This Row],[Tab Name]],4)="&lt;DM&gt;","Dynamic Model",IF(LEFT(Table2[[#This Row],[Tab Name]],4)="&lt;ST&gt;","Smart Table",IF(LEFT(Table2[[#This Row],[Tab Name]],4)="&lt;GT&gt;","Generic Table",""))))</f>
        <v>Static Model</v>
      </c>
      <c r="C19" s="1" t="str">
        <f aca="false">CONCATENATE(MID(A19,5,1000)," details to be created in the system")</f>
        <v>StateModel details to be created in the system</v>
      </c>
      <c r="D19" s="7" t="n">
        <f aca="false">IF(LEFT(Table2[[#This Row],[Tab Name]],1)="&lt;",D18+1,D18)</f>
        <v>11</v>
      </c>
    </row>
    <row r="20" customFormat="false" ht="15" hidden="false" customHeight="true" outlineLevel="0" collapsed="false">
      <c r="A20" s="1" t="s">
        <v>27</v>
      </c>
      <c r="B20" s="1" t="str">
        <f aca="false">IF(LEFT(Table2[[#This Row],[Tab Name]],4)="&lt;SM&gt;","Static Model",IF(LEFT(Table2[[#This Row],[Tab Name]],4)="&lt;DM&gt;","Dynamic Model",IF(LEFT(Table2[[#This Row],[Tab Name]],4)="&lt;ST&gt;","Smart Table",IF(LEFT(Table2[[#This Row],[Tab Name]],4)="&lt;GT&gt;","Generic Table",""))))</f>
        <v/>
      </c>
      <c r="C20" s="1" t="str">
        <f aca="false">CONCATENATE(MID(A20,5,1000)," details to be created in the system")</f>
        <v>eModelStates details to be created in the system</v>
      </c>
      <c r="D20" s="7" t="n">
        <f aca="false">IF(LEFT(Table2[[#This Row],[Tab Name]],1)="&lt;",D19+1,D19)</f>
        <v>11</v>
      </c>
    </row>
    <row r="21" customFormat="false" ht="15" hidden="false" customHeight="true" outlineLevel="0" collapsed="false">
      <c r="A21" s="1" t="s">
        <v>28</v>
      </c>
      <c r="B21" s="1" t="str">
        <f aca="false">IF(LEFT(Table2[[#This Row],[Tab Name]],4)="&lt;SM&gt;","Static Model",IF(LEFT(Table2[[#This Row],[Tab Name]],4)="&lt;DM&gt;","Dynamic Model",IF(LEFT(Table2[[#This Row],[Tab Name]],4)="&lt;ST&gt;","Smart Table",IF(LEFT(Table2[[#This Row],[Tab Name]],4)="&lt;GT&gt;","Generic Table",""))))</f>
        <v/>
      </c>
      <c r="C21" s="1" t="str">
        <f aca="false">CONCATENATE(MID(A21,5,1000)," details to be created in the system")</f>
        <v>eModelTransitions details to be created in the system</v>
      </c>
      <c r="D21" s="7" t="n">
        <f aca="false">IF(LEFT(Table2[[#This Row],[Tab Name]],1)="&lt;",D20+1,D20)</f>
        <v>11</v>
      </c>
    </row>
    <row r="22" customFormat="false" ht="15" hidden="false" customHeight="true" outlineLevel="0" collapsed="false">
      <c r="A22" s="1" t="s">
        <v>29</v>
      </c>
      <c r="B22" s="1" t="str">
        <f aca="false">IF(LEFT(Table2[[#This Row],[Tab Name]],4)="&lt;SM&gt;","Static Model",IF(LEFT(Table2[[#This Row],[Tab Name]],4)="&lt;DM&gt;","Dynamic Model",IF(LEFT(Table2[[#This Row],[Tab Name]],4)="&lt;ST&gt;","Smart Table",IF(LEFT(Table2[[#This Row],[Tab Name]],4)="&lt;GT&gt;","Generic Table",""))))</f>
        <v>Static Model</v>
      </c>
      <c r="C22" s="1" t="str">
        <f aca="false">CONCATENATE(MID(A22,5,1000)," details to be created in the system")</f>
        <v>NameGenerator details to be created in the system</v>
      </c>
      <c r="D22" s="7" t="n">
        <f aca="false">IF(LEFT(Table2[[#This Row],[Tab Name]],1)="&lt;",D21+1,D21)</f>
        <v>12</v>
      </c>
    </row>
    <row r="23" customFormat="false" ht="15" hidden="false" customHeight="true" outlineLevel="0" collapsed="false">
      <c r="A23" s="1" t="s">
        <v>30</v>
      </c>
      <c r="B23" s="1" t="str">
        <f aca="false">IF(LEFT(Table2[[#This Row],[Tab Name]],4)="&lt;SM&gt;","Static Model",IF(LEFT(Table2[[#This Row],[Tab Name]],4)="&lt;DM&gt;","Dynamic Model",IF(LEFT(Table2[[#This Row],[Tab Name]],4)="&lt;ST&gt;","Smart Table",IF(LEFT(Table2[[#This Row],[Tab Name]],4)="&lt;GT&gt;","Generic Table",""))))</f>
        <v>Static Model</v>
      </c>
      <c r="C23" s="1" t="str">
        <f aca="false">CONCATENATE(MID(A23,5,1000)," details to be created in the system")</f>
        <v>DEEAction details to be created in the system</v>
      </c>
      <c r="D23" s="7" t="n">
        <f aca="false">IF(LEFT(Table2[[#This Row],[Tab Name]],1)="&lt;",D22+1,D22)</f>
        <v>13</v>
      </c>
    </row>
    <row r="24" customFormat="false" ht="15" hidden="false" customHeight="true" outlineLevel="0" collapsed="false">
      <c r="A24" s="1" t="s">
        <v>31</v>
      </c>
      <c r="B24" s="1" t="str">
        <f aca="false">IF(LEFT(Table2[[#This Row],[Tab Name]],4)="&lt;SM&gt;","Static Model",IF(LEFT(Table2[[#This Row],[Tab Name]],4)="&lt;DM&gt;","Dynamic Model",IF(LEFT(Table2[[#This Row],[Tab Name]],4)="&lt;ST&gt;","Smart Table",IF(LEFT(Table2[[#This Row],[Tab Name]],4)="&lt;GT&gt;","Generic Table",""))))</f>
        <v/>
      </c>
      <c r="C24" s="1" t="str">
        <f aca="false">CONCATENATE(MID(A24,5,1000)," details to be created in the system")</f>
        <v>ctionOrder details to be created in the system</v>
      </c>
      <c r="D24" s="7" t="n">
        <f aca="false">IF(LEFT(Table2[[#This Row],[Tab Name]],1)="&lt;",D23+1,D23)</f>
        <v>13</v>
      </c>
    </row>
    <row r="25" customFormat="false" ht="15" hidden="false" customHeight="true" outlineLevel="0" collapsed="false">
      <c r="A25" s="1" t="s">
        <v>32</v>
      </c>
      <c r="B25" s="1" t="str">
        <f aca="false">IF(LEFT(Table2[[#This Row],[Tab Name]],4)="&lt;SM&gt;","Static Model",IF(LEFT(Table2[[#This Row],[Tab Name]],4)="&lt;DM&gt;","Dynamic Model",IF(LEFT(Table2[[#This Row],[Tab Name]],4)="&lt;ST&gt;","Smart Table",IF(LEFT(Table2[[#This Row],[Tab Name]],4)="&lt;GT&gt;","Generic Table",""))))</f>
        <v>Generic Table</v>
      </c>
      <c r="C25" s="1" t="str">
        <f aca="false">CONCATENATE(MID(A25,5,1000)," details to be created in the system")</f>
        <v>ScopeClassifications details to be created in the system</v>
      </c>
      <c r="D25" s="7" t="n">
        <f aca="false">IF(LEFT(Table2[[#This Row],[Tab Name]],1)="&lt;",D24+1,D24)</f>
        <v>14</v>
      </c>
    </row>
    <row r="26" customFormat="false" ht="15" hidden="false" customHeight="true" outlineLevel="0" collapsed="false">
      <c r="A26" s="1" t="s">
        <v>33</v>
      </c>
      <c r="B26" s="1" t="str">
        <f aca="false">IF(LEFT(Table2[[#This Row],[Tab Name]],4)="&lt;SM&gt;","Static Model",IF(LEFT(Table2[[#This Row],[Tab Name]],4)="&lt;DM&gt;","Dynamic Model",IF(LEFT(Table2[[#This Row],[Tab Name]],4)="&lt;ST&gt;","Smart Table",IF(LEFT(Table2[[#This Row],[Tab Name]],4)="&lt;GT&gt;","Generic Table",""))))</f>
        <v>Dynamic Model</v>
      </c>
      <c r="C26" s="1" t="str">
        <f aca="false">CONCATENATE(MID(A26,5,1000)," details to be created in the system")</f>
        <v>Rule details to be created in the system</v>
      </c>
      <c r="D26" s="7" t="n">
        <f aca="false">IF(LEFT(Table2[[#This Row],[Tab Name]],1)="&lt;",D25+1,D25)</f>
        <v>15</v>
      </c>
    </row>
    <row r="27" customFormat="false" ht="15" hidden="false" customHeight="true" outlineLevel="0" collapsed="false">
      <c r="A27" s="1" t="s">
        <v>34</v>
      </c>
      <c r="B27" s="1" t="str">
        <f aca="false">IF(LEFT(Table2[[#This Row],[Tab Name]],4)="&lt;SM&gt;","Static Model",IF(LEFT(Table2[[#This Row],[Tab Name]],4)="&lt;DM&gt;","Dynamic Model",IF(LEFT(Table2[[#This Row],[Tab Name]],4)="&lt;ST&gt;","Smart Table",IF(LEFT(Table2[[#This Row],[Tab Name]],4)="&lt;GT&gt;","Generic Table",""))))</f>
        <v>Generic Table</v>
      </c>
      <c r="C27" s="1" t="str">
        <f aca="false">CONCATENATE(MID(A27,5,1000)," details to be created in the system")</f>
        <v>ChangeSetUrgency details to be created in the system</v>
      </c>
      <c r="D27" s="7" t="n">
        <f aca="false">IF(LEFT(Table2[[#This Row],[Tab Name]],1)="&lt;",D26+1,D26)</f>
        <v>16</v>
      </c>
    </row>
    <row r="28" customFormat="false" ht="15" hidden="false" customHeight="true" outlineLevel="0" collapsed="false">
      <c r="A28" s="1" t="s">
        <v>35</v>
      </c>
      <c r="B28" s="1" t="str">
        <f aca="false">IF(LEFT(Table2[[#This Row],[Tab Name]],4)="&lt;SM&gt;","Static Model",IF(LEFT(Table2[[#This Row],[Tab Name]],4)="&lt;DM&gt;","Dynamic Model",IF(LEFT(Table2[[#This Row],[Tab Name]],4)="&lt;ST&gt;","Smart Table",IF(LEFT(Table2[[#This Row],[Tab Name]],4)="&lt;GT&gt;","Generic Table",""))))</f>
        <v>Dynamic Model</v>
      </c>
      <c r="C28" s="1" t="str">
        <f aca="false">CONCATENATE(MID(A28,5,1000)," details to be created in the system")</f>
        <v>ChangeSet details to be created in the system</v>
      </c>
      <c r="D28" s="7" t="n">
        <f aca="false">IF(LEFT(Table2[[#This Row],[Tab Name]],1)="&lt;",D27+1,D27)</f>
        <v>17</v>
      </c>
    </row>
    <row r="29" customFormat="false" ht="15" hidden="false" customHeight="true" outlineLevel="0" collapsed="false">
      <c r="A29" s="1" t="s">
        <v>36</v>
      </c>
      <c r="B29" s="1" t="str">
        <f aca="false">IF(LEFT(Table2[[#This Row],[Tab Name]],4)="&lt;SM&gt;","Static Model",IF(LEFT(Table2[[#This Row],[Tab Name]],4)="&lt;DM&gt;","Dynamic Model",IF(LEFT(Table2[[#This Row],[Tab Name]],4)="&lt;ST&gt;","Smart Table",IF(LEFT(Table2[[#This Row],[Tab Name]],4)="&lt;GT&gt;","Generic Table",""))))</f>
        <v>Static Model</v>
      </c>
      <c r="C29" s="1" t="str">
        <f aca="false">CONCATENATE(MID(A29,5,1000)," details to be created in the system")</f>
        <v>ImportObject details to be created in the system</v>
      </c>
      <c r="D29" s="7" t="n">
        <f aca="false">IF(LEFT(Table2[[#This Row],[Tab Name]],1)="&lt;",D28+1,D28)</f>
        <v>18</v>
      </c>
    </row>
    <row r="30" customFormat="false" ht="15" hidden="false" customHeight="true" outlineLevel="0" collapsed="false">
      <c r="A30" s="1" t="s">
        <v>37</v>
      </c>
      <c r="B30" s="1" t="str">
        <f aca="false">IF(LEFT(Table2[[#This Row],[Tab Name]],4)="&lt;SM&gt;","Static Model",IF(LEFT(Table2[[#This Row],[Tab Name]],4)="&lt;DM&gt;","Dynamic Model",IF(LEFT(Table2[[#This Row],[Tab Name]],4)="&lt;ST&gt;","Smart Table",IF(LEFT(Table2[[#This Row],[Tab Name]],4)="&lt;GT&gt;","Generic Table",""))))</f>
        <v>Dynamic Model</v>
      </c>
      <c r="C30" s="1" t="str">
        <f aca="false">CONCATENATE(MID(A30,5,1000)," details to be created in the system")</f>
        <v>SortRuleSet details to be created in the system</v>
      </c>
      <c r="D30" s="7" t="n">
        <f aca="false">IF(LEFT(Table2[[#This Row],[Tab Name]],1)="&lt;",D29+1,D29)</f>
        <v>19</v>
      </c>
    </row>
    <row r="31" customFormat="false" ht="15" hidden="false" customHeight="true" outlineLevel="0" collapsed="false">
      <c r="A31" s="1" t="s">
        <v>38</v>
      </c>
      <c r="B31" s="1" t="str">
        <f aca="false">IF(LEFT(Table2[[#This Row],[Tab Name]],4)="&lt;SM&gt;","Static Model",IF(LEFT(Table2[[#This Row],[Tab Name]],4)="&lt;DM&gt;","Dynamic Model",IF(LEFT(Table2[[#This Row],[Tab Name]],4)="&lt;ST&gt;","Smart Table",IF(LEFT(Table2[[#This Row],[Tab Name]],4)="&lt;GT&gt;","Generic Table",""))))</f>
        <v>Dynamic Model</v>
      </c>
      <c r="C31" s="1" t="str">
        <f aca="false">CONCATENATE(MID(A31,5,1000)," details to be created in the system")</f>
        <v>Folder details to be created in the system</v>
      </c>
      <c r="D31" s="7" t="n">
        <f aca="false">IF(LEFT(Table2[[#This Row],[Tab Name]],1)="&lt;",D30+1,D30)</f>
        <v>20</v>
      </c>
    </row>
    <row r="32" customFormat="false" ht="15" hidden="false" customHeight="true" outlineLevel="0" collapsed="false">
      <c r="A32" s="1" t="s">
        <v>39</v>
      </c>
      <c r="B32" s="1" t="str">
        <f aca="false">IF(LEFT(Table2[[#This Row],[Tab Name]],4)="&lt;SM&gt;","Static Model",IF(LEFT(Table2[[#This Row],[Tab Name]],4)="&lt;DM&gt;","Dynamic Model",IF(LEFT(Table2[[#This Row],[Tab Name]],4)="&lt;ST&gt;","Smart Table",IF(LEFT(Table2[[#This Row],[Tab Name]],4)="&lt;GT&gt;","Generic Table",""))))</f>
        <v>Dynamic Model</v>
      </c>
      <c r="C32" s="1" t="str">
        <f aca="false">CONCATENATE(MID(A32,5,1000)," details to be created in the system")</f>
        <v>Document details to be created in the system</v>
      </c>
      <c r="D32" s="7" t="n">
        <f aca="false">IF(LEFT(Table2[[#This Row],[Tab Name]],1)="&lt;",D31+1,D31)</f>
        <v>21</v>
      </c>
    </row>
    <row r="33" customFormat="false" ht="15" hidden="false" customHeight="true" outlineLevel="0" collapsed="false">
      <c r="A33" s="1" t="s">
        <v>40</v>
      </c>
      <c r="B33" s="1" t="str">
        <f aca="false">IF(LEFT(Table2[[#This Row],[Tab Name]],4)="&lt;SM&gt;","Static Model",IF(LEFT(Table2[[#This Row],[Tab Name]],4)="&lt;DM&gt;","Dynamic Model",IF(LEFT(Table2[[#This Row],[Tab Name]],4)="&lt;ST&gt;","Smart Table",IF(LEFT(Table2[[#This Row],[Tab Name]],4)="&lt;GT&gt;","Generic Table",""))))</f>
        <v/>
      </c>
      <c r="C33" s="1" t="str">
        <f aca="false">CONCATENATE(MID(A33,5,1000)," details to be created in the system")</f>
        <v>mentApplicableRole details to be created in the system</v>
      </c>
      <c r="D33" s="7" t="n">
        <f aca="false">IF(LEFT(Table2[[#This Row],[Tab Name]],1)="&lt;",D32+1,D32)</f>
        <v>21</v>
      </c>
    </row>
    <row r="34" customFormat="false" ht="15" hidden="false" customHeight="true" outlineLevel="0" collapsed="false">
      <c r="A34" s="1" t="s">
        <v>41</v>
      </c>
      <c r="B34" s="1" t="str">
        <f aca="false">IF(LEFT(Table2[[#This Row],[Tab Name]],4)="&lt;SM&gt;","Static Model",IF(LEFT(Table2[[#This Row],[Tab Name]],4)="&lt;DM&gt;","Dynamic Model",IF(LEFT(Table2[[#This Row],[Tab Name]],4)="&lt;ST&gt;","Smart Table",IF(LEFT(Table2[[#This Row],[Tab Name]],4)="&lt;GT&gt;","Generic Table",""))))</f>
        <v>Generic Table</v>
      </c>
      <c r="C34" s="1" t="str">
        <f aca="false">CONCATENATE(MID(A34,5,1000)," details to be created in the system")</f>
        <v>QualificationProficiency details to be created in the system</v>
      </c>
      <c r="D34" s="7" t="n">
        <f aca="false">IF(LEFT(Table2[[#This Row],[Tab Name]],1)="&lt;",D33+1,D33)</f>
        <v>22</v>
      </c>
    </row>
    <row r="35" customFormat="false" ht="15" hidden="false" customHeight="true" outlineLevel="0" collapsed="false">
      <c r="A35" s="1" t="s">
        <v>42</v>
      </c>
      <c r="B35" s="1" t="str">
        <f aca="false">IF(LEFT(Table2[[#This Row],[Tab Name]],4)="&lt;SM&gt;","Static Model",IF(LEFT(Table2[[#This Row],[Tab Name]],4)="&lt;DM&gt;","Dynamic Model",IF(LEFT(Table2[[#This Row],[Tab Name]],4)="&lt;ST&gt;","Smart Table",IF(LEFT(Table2[[#This Row],[Tab Name]],4)="&lt;GT&gt;","Generic Table",""))))</f>
        <v>Dynamic Model</v>
      </c>
      <c r="C35" s="1" t="str">
        <f aca="false">CONCATENATE(MID(A35,5,1000)," details to be created in the system")</f>
        <v>Qualification details to be created in the system</v>
      </c>
      <c r="D35" s="7" t="n">
        <f aca="false">IF(LEFT(Table2[[#This Row],[Tab Name]],1)="&lt;",D34+1,D34)</f>
        <v>23</v>
      </c>
    </row>
    <row r="36" customFormat="false" ht="15" hidden="false" customHeight="true" outlineLevel="0" collapsed="false">
      <c r="A36" s="1" t="s">
        <v>43</v>
      </c>
      <c r="B36" s="1" t="str">
        <f aca="false">IF(LEFT(Table2[[#This Row],[Tab Name]],4)="&lt;SM&gt;","Static Model",IF(LEFT(Table2[[#This Row],[Tab Name]],4)="&lt;DM&gt;","Dynamic Model",IF(LEFT(Table2[[#This Row],[Tab Name]],4)="&lt;ST&gt;","Smart Table",IF(LEFT(Table2[[#This Row],[Tab Name]],4)="&lt;GT&gt;","Generic Table",""))))</f>
        <v>Dynamic Model</v>
      </c>
      <c r="C36" s="1" t="str">
        <f aca="false">CONCATENATE(MID(A36,5,1000)," details to be created in the system")</f>
        <v>Certification details to be created in the system</v>
      </c>
      <c r="D36" s="7" t="n">
        <f aca="false">IF(LEFT(Table2[[#This Row],[Tab Name]],1)="&lt;",D35+1,D35)</f>
        <v>24</v>
      </c>
    </row>
    <row r="37" customFormat="false" ht="15" hidden="false" customHeight="true" outlineLevel="0" collapsed="false">
      <c r="A37" s="1" t="s">
        <v>44</v>
      </c>
      <c r="B37" s="1" t="str">
        <f aca="false">IF(LEFT(Table2[[#This Row],[Tab Name]],4)="&lt;SM&gt;","Static Model",IF(LEFT(Table2[[#This Row],[Tab Name]],4)="&lt;DM&gt;","Dynamic Model",IF(LEFT(Table2[[#This Row],[Tab Name]],4)="&lt;ST&gt;","Smart Table",IF(LEFT(Table2[[#This Row],[Tab Name]],4)="&lt;GT&gt;","Generic Table",""))))</f>
        <v>Dynamic Model</v>
      </c>
      <c r="C37" s="1" t="str">
        <f aca="false">CONCATENATE(MID(A37,5,1000)," details to be created in the system")</f>
        <v>CertificationRequiredQualification details to be created in the system</v>
      </c>
      <c r="D37" s="7" t="n">
        <f aca="false">IF(LEFT(Table2[[#This Row],[Tab Name]],1)="&lt;",D36+1,D36)</f>
        <v>25</v>
      </c>
    </row>
    <row r="38" customFormat="false" ht="15" hidden="false" customHeight="true" outlineLevel="0" collapsed="false">
      <c r="A38" s="1" t="s">
        <v>45</v>
      </c>
      <c r="B38" s="1" t="str">
        <f aca="false">IF(LEFT(Table2[[#This Row],[Tab Name]],4)="&lt;SM&gt;","Static Model",IF(LEFT(Table2[[#This Row],[Tab Name]],4)="&lt;DM&gt;","Dynamic Model",IF(LEFT(Table2[[#This Row],[Tab Name]],4)="&lt;ST&gt;","Smart Table",IF(LEFT(Table2[[#This Row],[Tab Name]],4)="&lt;GT&gt;","Generic Table",""))))</f>
        <v>Dynamic Model</v>
      </c>
      <c r="C38" s="1" t="str">
        <f aca="false">CONCATENATE(MID(A38,5,1000)," details to be created in the system")</f>
        <v>Calendar details to be created in the system</v>
      </c>
      <c r="D38" s="7" t="n">
        <f aca="false">IF(LEFT(Table2[[#This Row],[Tab Name]],1)="&lt;",D37+1,D37)</f>
        <v>26</v>
      </c>
    </row>
    <row r="39" customFormat="false" ht="15" hidden="false" customHeight="true" outlineLevel="0" collapsed="false">
      <c r="A39" s="1" t="s">
        <v>46</v>
      </c>
      <c r="B39" s="1" t="str">
        <f aca="false">IF(LEFT(Table2[[#This Row],[Tab Name]],4)="&lt;SM&gt;","Static Model",IF(LEFT(Table2[[#This Row],[Tab Name]],4)="&lt;DM&gt;","Dynamic Model",IF(LEFT(Table2[[#This Row],[Tab Name]],4)="&lt;ST&gt;","Smart Table",IF(LEFT(Table2[[#This Row],[Tab Name]],4)="&lt;GT&gt;","Generic Table",""))))</f>
        <v>Dynamic Model</v>
      </c>
      <c r="C39" s="1" t="str">
        <f aca="false">CONCATENATE(MID(A39,5,1000)," details to be created in the system")</f>
        <v>Team details to be created in the system</v>
      </c>
      <c r="D39" s="7" t="n">
        <f aca="false">IF(LEFT(Table2[[#This Row],[Tab Name]],1)="&lt;",D38+1,D38)</f>
        <v>27</v>
      </c>
    </row>
    <row r="40" customFormat="false" ht="15" hidden="false" customHeight="true" outlineLevel="0" collapsed="false">
      <c r="A40" s="1" t="s">
        <v>47</v>
      </c>
      <c r="B40" s="1" t="str">
        <f aca="false">IF(LEFT(Table2[[#This Row],[Tab Name]],4)="&lt;SM&gt;","Static Model",IF(LEFT(Table2[[#This Row],[Tab Name]],4)="&lt;DM&gt;","Dynamic Model",IF(LEFT(Table2[[#This Row],[Tab Name]],4)="&lt;ST&gt;","Smart Table",IF(LEFT(Table2[[#This Row],[Tab Name]],4)="&lt;GT&gt;","Generic Table",""))))</f>
        <v>Dynamic Model</v>
      </c>
      <c r="C40" s="1" t="str">
        <f aca="false">CONCATENATE(MID(A40,5,1000)," details to be created in the system")</f>
        <v>ShiftDefinition details to be created in the system</v>
      </c>
      <c r="D40" s="7" t="n">
        <f aca="false">IF(LEFT(Table2[[#This Row],[Tab Name]],1)="&lt;",D39+1,D39)</f>
        <v>28</v>
      </c>
    </row>
    <row r="41" customFormat="false" ht="15" hidden="false" customHeight="true" outlineLevel="0" collapsed="false">
      <c r="A41" s="1" t="s">
        <v>48</v>
      </c>
      <c r="B41" s="1" t="str">
        <f aca="false">IF(LEFT(Table2[[#This Row],[Tab Name]],4)="&lt;SM&gt;","Static Model",IF(LEFT(Table2[[#This Row],[Tab Name]],4)="&lt;DM&gt;","Dynamic Model",IF(LEFT(Table2[[#This Row],[Tab Name]],4)="&lt;ST&gt;","Smart Table",IF(LEFT(Table2[[#This Row],[Tab Name]],4)="&lt;GT&gt;","Generic Table",""))))</f>
        <v/>
      </c>
      <c r="C41" s="1" t="str">
        <f aca="false">CONCATENATE(MID(A41,5,1000)," details to be created in the system")</f>
        <v>tDefinitionShift details to be created in the system</v>
      </c>
      <c r="D41" s="7" t="n">
        <f aca="false">IF(LEFT(Table2[[#This Row],[Tab Name]],1)="&lt;",D40+1,D40)</f>
        <v>28</v>
      </c>
    </row>
    <row r="42" customFormat="false" ht="15" hidden="false" customHeight="true" outlineLevel="0" collapsed="false">
      <c r="A42" s="1" t="s">
        <v>49</v>
      </c>
      <c r="B42" s="1" t="str">
        <f aca="false">IF(LEFT(Table2[[#This Row],[Tab Name]],4)="&lt;SM&gt;","Static Model",IF(LEFT(Table2[[#This Row],[Tab Name]],4)="&lt;DM&gt;","Dynamic Model",IF(LEFT(Table2[[#This Row],[Tab Name]],4)="&lt;ST&gt;","Smart Table",IF(LEFT(Table2[[#This Row],[Tab Name]],4)="&lt;GT&gt;","Generic Table",""))))</f>
        <v/>
      </c>
      <c r="C42" s="1" t="str">
        <f aca="false">CONCATENATE(MID(A42,5,1000)," details to be created in the system")</f>
        <v>TeamShiftAssociation details to be created in the system</v>
      </c>
      <c r="D42" s="7" t="n">
        <f aca="false">IF(LEFT(Table2[[#This Row],[Tab Name]],1)="&lt;",D41+1,D41)</f>
        <v>29</v>
      </c>
    </row>
    <row r="43" customFormat="false" ht="15" hidden="false" customHeight="true" outlineLevel="0" collapsed="false">
      <c r="A43" s="1" t="s">
        <v>50</v>
      </c>
      <c r="B43" s="1" t="str">
        <f aca="false">IF(LEFT(Table2[[#This Row],[Tab Name]],4)="&lt;SM&gt;","Static Model",IF(LEFT(Table2[[#This Row],[Tab Name]],4)="&lt;DM&gt;","Dynamic Model",IF(LEFT(Table2[[#This Row],[Tab Name]],4)="&lt;ST&gt;","Smart Table",IF(LEFT(Table2[[#This Row],[Tab Name]],4)="&lt;GT&gt;","Generic Table",""))))</f>
        <v>Dynamic Model</v>
      </c>
      <c r="C43" s="1" t="str">
        <f aca="false">CONCATENATE(MID(A43,5,1000)," details to be created in the system")</f>
        <v>CalendarDay details to be created in the system</v>
      </c>
      <c r="D43" s="7" t="n">
        <f aca="false">IF(LEFT(Table2[[#This Row],[Tab Name]],1)="&lt;",D42+1,D42)</f>
        <v>30</v>
      </c>
    </row>
    <row r="44" customFormat="false" ht="15" hidden="false" customHeight="true" outlineLevel="0" collapsed="false">
      <c r="A44" s="1" t="s">
        <v>51</v>
      </c>
      <c r="B44" s="1" t="str">
        <f aca="false">IF(LEFT(Table2[[#This Row],[Tab Name]],4)="&lt;SM&gt;","Static Model",IF(LEFT(Table2[[#This Row],[Tab Name]],4)="&lt;DM&gt;","Dynamic Model",IF(LEFT(Table2[[#This Row],[Tab Name]],4)="&lt;ST&gt;","Smart Table",IF(LEFT(Table2[[#This Row],[Tab Name]],4)="&lt;GT&gt;","Generic Table",""))))</f>
        <v>Dynamic Model</v>
      </c>
      <c r="C44" s="1" t="str">
        <f aca="false">CONCATENATE(MID(A44,5,1000)," details to be created in the system")</f>
        <v>Schedule details to be created in the system</v>
      </c>
      <c r="D44" s="7" t="n">
        <f aca="false">IF(LEFT(Table2[[#This Row],[Tab Name]],1)="&lt;",D43+1,D43)</f>
        <v>31</v>
      </c>
    </row>
    <row r="45" customFormat="false" ht="15" hidden="false" customHeight="true" outlineLevel="0" collapsed="false">
      <c r="A45" s="1" t="s">
        <v>52</v>
      </c>
      <c r="B45" s="1" t="str">
        <f aca="false">IF(LEFT(Table2[[#This Row],[Tab Name]],4)="&lt;SM&gt;","Static Model",IF(LEFT(Table2[[#This Row],[Tab Name]],4)="&lt;DM&gt;","Dynamic Model",IF(LEFT(Table2[[#This Row],[Tab Name]],4)="&lt;ST&gt;","Smart Table",IF(LEFT(Table2[[#This Row],[Tab Name]],4)="&lt;GT&gt;","Generic Table",""))))</f>
        <v/>
      </c>
      <c r="C45" s="1" t="str">
        <f aca="false">CONCATENATE(MID(A45,5,1000)," details to be created in the system")</f>
        <v>duleOptimizationCriteria details to be created in the system</v>
      </c>
      <c r="D45" s="7" t="n">
        <f aca="false">IF(LEFT(Table2[[#This Row],[Tab Name]],1)="&lt;",D44+1,D44)</f>
        <v>31</v>
      </c>
    </row>
    <row r="46" customFormat="false" ht="15" hidden="false" customHeight="true" outlineLevel="0" collapsed="false">
      <c r="A46" s="1" t="s">
        <v>53</v>
      </c>
      <c r="B46" s="1" t="str">
        <f aca="false">IF(LEFT(Table2[[#This Row],[Tab Name]],4)="&lt;SM&gt;","Static Model",IF(LEFT(Table2[[#This Row],[Tab Name]],4)="&lt;DM&gt;","Dynamic Model",IF(LEFT(Table2[[#This Row],[Tab Name]],4)="&lt;ST&gt;","Smart Table",IF(LEFT(Table2[[#This Row],[Tab Name]],4)="&lt;GT&gt;","Generic Table",""))))</f>
        <v/>
      </c>
      <c r="C46" s="1" t="str">
        <f aca="false">CONCATENATE(MID(A46,5,1000)," details to be created in the system")</f>
        <v>duleSortRule details to be created in the system</v>
      </c>
      <c r="D46" s="7" t="n">
        <f aca="false">IF(LEFT(Table2[[#This Row],[Tab Name]],1)="&lt;",D45+1,D45)</f>
        <v>31</v>
      </c>
    </row>
    <row r="47" customFormat="false" ht="15" hidden="false" customHeight="true" outlineLevel="0" collapsed="false">
      <c r="A47" s="1" t="s">
        <v>54</v>
      </c>
      <c r="B47" s="1" t="str">
        <f aca="false">IF(LEFT(Table2[[#This Row],[Tab Name]],4)="&lt;SM&gt;","Static Model",IF(LEFT(Table2[[#This Row],[Tab Name]],4)="&lt;DM&gt;","Dynamic Model",IF(LEFT(Table2[[#This Row],[Tab Name]],4)="&lt;ST&gt;","Smart Table",IF(LEFT(Table2[[#This Row],[Tab Name]],4)="&lt;GT&gt;","Generic Table",""))))</f>
        <v>Dynamic Model</v>
      </c>
      <c r="C47" s="1" t="str">
        <f aca="false">CONCATENATE(MID(A47,5,1000)," details to be created in the system")</f>
        <v>ScheduleScenario details to be created in the system</v>
      </c>
      <c r="D47" s="7" t="n">
        <f aca="false">IF(LEFT(Table2[[#This Row],[Tab Name]],1)="&lt;",D46+1,D46)</f>
        <v>32</v>
      </c>
    </row>
    <row r="48" customFormat="false" ht="15" hidden="false" customHeight="true" outlineLevel="0" collapsed="false">
      <c r="A48" s="1" t="s">
        <v>55</v>
      </c>
      <c r="B48" s="1" t="str">
        <f aca="false">IF(LEFT(Table2[[#This Row],[Tab Name]],4)="&lt;SM&gt;","Static Model",IF(LEFT(Table2[[#This Row],[Tab Name]],4)="&lt;DM&gt;","Dynamic Model",IF(LEFT(Table2[[#This Row],[Tab Name]],4)="&lt;ST&gt;","Smart Table",IF(LEFT(Table2[[#This Row],[Tab Name]],4)="&lt;GT&gt;","Generic Table",""))))</f>
        <v>Dynamic Model</v>
      </c>
      <c r="C48" s="1" t="str">
        <f aca="false">CONCATENATE(MID(A48,5,1000)," details to be created in the system")</f>
        <v>Enterprise details to be created in the system</v>
      </c>
      <c r="D48" s="7" t="n">
        <f aca="false">IF(LEFT(Table2[[#This Row],[Tab Name]],1)="&lt;",D47+1,D47)</f>
        <v>33</v>
      </c>
    </row>
    <row r="49" customFormat="false" ht="15" hidden="false" customHeight="true" outlineLevel="0" collapsed="false">
      <c r="A49" s="1" t="s">
        <v>56</v>
      </c>
      <c r="B49" s="1" t="str">
        <f aca="false">IF(LEFT(Table2[[#This Row],[Tab Name]],4)="&lt;SM&gt;","Static Model",IF(LEFT(Table2[[#This Row],[Tab Name]],4)="&lt;DM&gt;","Dynamic Model",IF(LEFT(Table2[[#This Row],[Tab Name]],4)="&lt;ST&gt;","Smart Table",IF(LEFT(Table2[[#This Row],[Tab Name]],4)="&lt;GT&gt;","Generic Table",""))))</f>
        <v>Dynamic Model</v>
      </c>
      <c r="C49" s="1" t="str">
        <f aca="false">CONCATENATE(MID(A49,5,1000)," details to be created in the system")</f>
        <v>Site details to be created in the system</v>
      </c>
      <c r="D49" s="7" t="n">
        <f aca="false">IF(LEFT(Table2[[#This Row],[Tab Name]],1)="&lt;",D48+1,D48)</f>
        <v>34</v>
      </c>
    </row>
    <row r="50" customFormat="false" ht="15" hidden="false" customHeight="true" outlineLevel="0" collapsed="false">
      <c r="A50" s="1" t="s">
        <v>57</v>
      </c>
      <c r="B50" s="1" t="str">
        <f aca="false">IF(LEFT(Table2[[#This Row],[Tab Name]],4)="&lt;SM&gt;","Static Model",IF(LEFT(Table2[[#This Row],[Tab Name]],4)="&lt;DM&gt;","Dynamic Model",IF(LEFT(Table2[[#This Row],[Tab Name]],4)="&lt;ST&gt;","Smart Table",IF(LEFT(Table2[[#This Row],[Tab Name]],4)="&lt;GT&gt;","Generic Table",""))))</f>
        <v>Dynamic Model</v>
      </c>
      <c r="C50" s="1" t="str">
        <f aca="false">CONCATENATE(MID(A50,5,1000)," details to be created in the system")</f>
        <v>Facility details to be created in the system</v>
      </c>
      <c r="D50" s="7" t="n">
        <f aca="false">IF(LEFT(Table2[[#This Row],[Tab Name]],1)="&lt;",D49+1,D49)</f>
        <v>35</v>
      </c>
    </row>
    <row r="51" customFormat="false" ht="15" hidden="false" customHeight="true" outlineLevel="0" collapsed="false">
      <c r="A51" s="1" t="s">
        <v>58</v>
      </c>
      <c r="B51" s="1" t="str">
        <f aca="false">IF(LEFT(Table2[[#This Row],[Tab Name]],4)="&lt;SM&gt;","Static Model",IF(LEFT(Table2[[#This Row],[Tab Name]],4)="&lt;DM&gt;","Dynamic Model",IF(LEFT(Table2[[#This Row],[Tab Name]],4)="&lt;ST&gt;","Smart Table",IF(LEFT(Table2[[#This Row],[Tab Name]],4)="&lt;GT&gt;","Generic Table",""))))</f>
        <v>Dynamic Model</v>
      </c>
      <c r="C51" s="1" t="str">
        <f aca="false">CONCATENATE(MID(A51,5,1000)," details to be created in the system")</f>
        <v>Service details to be created in the system</v>
      </c>
      <c r="D51" s="7" t="n">
        <f aca="false">IF(LEFT(Table2[[#This Row],[Tab Name]],1)="&lt;",D50+1,D50)</f>
        <v>36</v>
      </c>
    </row>
    <row r="52" customFormat="false" ht="15" hidden="false" customHeight="true" outlineLevel="0" collapsed="false">
      <c r="A52" s="1" t="s">
        <v>59</v>
      </c>
      <c r="B52" s="1" t="str">
        <f aca="false">IF(LEFT(Table2[[#This Row],[Tab Name]],4)="&lt;SM&gt;","Static Model",IF(LEFT(Table2[[#This Row],[Tab Name]],4)="&lt;DM&gt;","Dynamic Model",IF(LEFT(Table2[[#This Row],[Tab Name]],4)="&lt;ST&gt;","Smart Table",IF(LEFT(Table2[[#This Row],[Tab Name]],4)="&lt;GT&gt;","Generic Table",""))))</f>
        <v>Dynamic Model</v>
      </c>
      <c r="C52" s="1" t="str">
        <f aca="false">CONCATENATE(MID(A52,5,1000)," details to be created in the system")</f>
        <v>CompatibleService details to be created in the system</v>
      </c>
      <c r="D52" s="7" t="n">
        <f aca="false">IF(LEFT(Table2[[#This Row],[Tab Name]],1)="&lt;",D51+1,D51)</f>
        <v>37</v>
      </c>
    </row>
    <row r="53" customFormat="false" ht="15" hidden="false" customHeight="true" outlineLevel="0" collapsed="false">
      <c r="A53" s="1" t="s">
        <v>60</v>
      </c>
      <c r="B53" s="1" t="str">
        <f aca="false">IF(LEFT(Table2[[#This Row],[Tab Name]],4)="&lt;SM&gt;","Static Model",IF(LEFT(Table2[[#This Row],[Tab Name]],4)="&lt;DM&gt;","Dynamic Model",IF(LEFT(Table2[[#This Row],[Tab Name]],4)="&lt;ST&gt;","Smart Table",IF(LEFT(Table2[[#This Row],[Tab Name]],4)="&lt;GT&gt;","Generic Table",""))))</f>
        <v>Generic Table</v>
      </c>
      <c r="C53" s="1" t="str">
        <f aca="false">CONCATENATE(MID(A53,5,1000)," details to be created in the system")</f>
        <v>ShiftLogbookEntrySeverity details to be created in the system</v>
      </c>
      <c r="D53" s="7" t="n">
        <f aca="false">IF(LEFT(Table2[[#This Row],[Tab Name]],1)="&lt;",D52+1,D52)</f>
        <v>38</v>
      </c>
    </row>
    <row r="54" customFormat="false" ht="15" hidden="false" customHeight="true" outlineLevel="0" collapsed="false">
      <c r="A54" s="1" t="s">
        <v>61</v>
      </c>
      <c r="B54" s="1" t="str">
        <f aca="false">IF(LEFT(Table2[[#This Row],[Tab Name]],4)="&lt;SM&gt;","Static Model",IF(LEFT(Table2[[#This Row],[Tab Name]],4)="&lt;DM&gt;","Dynamic Model",IF(LEFT(Table2[[#This Row],[Tab Name]],4)="&lt;ST&gt;","Smart Table",IF(LEFT(Table2[[#This Row],[Tab Name]],4)="&lt;GT&gt;","Generic Table",""))))</f>
        <v>Dynamic Model</v>
      </c>
      <c r="C54" s="1" t="str">
        <f aca="false">CONCATENATE(MID(A54,5,1000)," details to be created in the system")</f>
        <v>Area details to be created in the system</v>
      </c>
      <c r="D54" s="7" t="n">
        <f aca="false">IF(LEFT(Table2[[#This Row],[Tab Name]],1)="&lt;",D53+1,D53)</f>
        <v>39</v>
      </c>
    </row>
    <row r="55" customFormat="false" ht="15" hidden="false" customHeight="true" outlineLevel="0" collapsed="false">
      <c r="A55" s="1" t="s">
        <v>62</v>
      </c>
      <c r="B55" s="1" t="str">
        <f aca="false">IF(LEFT(Table2[[#This Row],[Tab Name]],4)="&lt;SM&gt;","Static Model",IF(LEFT(Table2[[#This Row],[Tab Name]],4)="&lt;DM&gt;","Dynamic Model",IF(LEFT(Table2[[#This Row],[Tab Name]],4)="&lt;ST&gt;","Smart Table",IF(LEFT(Table2[[#This Row],[Tab Name]],4)="&lt;GT&gt;","Generic Table",""))))</f>
        <v>Dynamic Model</v>
      </c>
      <c r="C55" s="1" t="str">
        <f aca="false">CONCATENATE(MID(A55,5,1000)," details to be created in the system")</f>
        <v>AreaSupplyArea details to be created in the system</v>
      </c>
      <c r="D55" s="7" t="n">
        <f aca="false">IF(LEFT(Table2[[#This Row],[Tab Name]],1)="&lt;",D54+1,D54)</f>
        <v>40</v>
      </c>
    </row>
    <row r="56" customFormat="false" ht="15" hidden="false" customHeight="true" outlineLevel="0" collapsed="false">
      <c r="A56" s="1" t="s">
        <v>63</v>
      </c>
      <c r="B56" s="1" t="str">
        <f aca="false">IF(LEFT(Table2[[#This Row],[Tab Name]],4)="&lt;SM&gt;","Static Model",IF(LEFT(Table2[[#This Row],[Tab Name]],4)="&lt;DM&gt;","Dynamic Model",IF(LEFT(Table2[[#This Row],[Tab Name]],4)="&lt;ST&gt;","Smart Table",IF(LEFT(Table2[[#This Row],[Tab Name]],4)="&lt;GT&gt;","Generic Table",""))))</f>
        <v>Dynamic Model</v>
      </c>
      <c r="C56" s="1" t="str">
        <f aca="false">CONCATENATE(MID(A56,5,1000)," details to be created in the system")</f>
        <v>AreaTransferRequirementType details to be created in the system</v>
      </c>
      <c r="D56" s="7" t="n">
        <f aca="false">IF(LEFT(Table2[[#This Row],[Tab Name]],1)="&lt;",D55+1,D55)</f>
        <v>41</v>
      </c>
    </row>
    <row r="57" customFormat="false" ht="15" hidden="false" customHeight="true" outlineLevel="0" collapsed="false">
      <c r="A57" s="1" t="s">
        <v>64</v>
      </c>
      <c r="B57" s="1" t="str">
        <f aca="false">IF(LEFT(Table2[[#This Row],[Tab Name]],4)="&lt;SM&gt;","Static Model",IF(LEFT(Table2[[#This Row],[Tab Name]],4)="&lt;DM&gt;","Dynamic Model",IF(LEFT(Table2[[#This Row],[Tab Name]],4)="&lt;ST&gt;","Smart Table",IF(LEFT(Table2[[#This Row],[Tab Name]],4)="&lt;GT&gt;","Generic Table",""))))</f>
        <v>Dynamic Model</v>
      </c>
      <c r="C57" s="1" t="str">
        <f aca="false">CONCATENATE(MID(A57,5,1000)," details to be created in the system")</f>
        <v>Employee details to be created in the system</v>
      </c>
      <c r="D57" s="7" t="n">
        <f aca="false">IF(LEFT(Table2[[#This Row],[Tab Name]],1)="&lt;",D56+1,D56)</f>
        <v>42</v>
      </c>
    </row>
    <row r="58" customFormat="false" ht="15" hidden="false" customHeight="true" outlineLevel="0" collapsed="false">
      <c r="A58" s="1" t="s">
        <v>65</v>
      </c>
      <c r="B58" s="1" t="str">
        <f aca="false">IF(LEFT(Table2[[#This Row],[Tab Name]],4)="&lt;SM&gt;","Static Model",IF(LEFT(Table2[[#This Row],[Tab Name]],4)="&lt;DM&gt;","Dynamic Model",IF(LEFT(Table2[[#This Row],[Tab Name]],4)="&lt;ST&gt;","Smart Table",IF(LEFT(Table2[[#This Row],[Tab Name]],4)="&lt;GT&gt;","Generic Table",""))))</f>
        <v>Dynamic Model</v>
      </c>
      <c r="C58" s="1" t="str">
        <f aca="false">CONCATENATE(MID(A58,5,1000)," details to be created in the system")</f>
        <v>EmployeeDelegate details to be created in the system</v>
      </c>
      <c r="D58" s="7" t="n">
        <f aca="false">IF(LEFT(Table2[[#This Row],[Tab Name]],1)="&lt;",D57+1,D57)</f>
        <v>43</v>
      </c>
    </row>
    <row r="59" customFormat="false" ht="15" hidden="false" customHeight="true" outlineLevel="0" collapsed="false">
      <c r="A59" s="1" t="s">
        <v>66</v>
      </c>
      <c r="B59" s="1" t="str">
        <f aca="false">IF(LEFT(Table2[[#This Row],[Tab Name]],4)="&lt;SM&gt;","Static Model",IF(LEFT(Table2[[#This Row],[Tab Name]],4)="&lt;DM&gt;","Dynamic Model",IF(LEFT(Table2[[#This Row],[Tab Name]],4)="&lt;ST&gt;","Smart Table",IF(LEFT(Table2[[#This Row],[Tab Name]],4)="&lt;GT&gt;","Generic Table",""))))</f>
        <v>Dynamic Model</v>
      </c>
      <c r="C59" s="1" t="str">
        <f aca="false">CONCATENATE(MID(A59,5,1000)," details to be created in the system")</f>
        <v>EmployeeQualification details to be created in the system</v>
      </c>
      <c r="D59" s="7" t="n">
        <f aca="false">IF(LEFT(Table2[[#This Row],[Tab Name]],1)="&lt;",D58+1,D58)</f>
        <v>44</v>
      </c>
    </row>
    <row r="60" customFormat="false" ht="15" hidden="false" customHeight="true" outlineLevel="0" collapsed="false">
      <c r="A60" s="1" t="s">
        <v>67</v>
      </c>
      <c r="B60" s="1" t="str">
        <f aca="false">IF(LEFT(Table2[[#This Row],[Tab Name]],4)="&lt;SM&gt;","Static Model",IF(LEFT(Table2[[#This Row],[Tab Name]],4)="&lt;DM&gt;","Dynamic Model",IF(LEFT(Table2[[#This Row],[Tab Name]],4)="&lt;ST&gt;","Smart Table",IF(LEFT(Table2[[#This Row],[Tab Name]],4)="&lt;GT&gt;","Generic Table",""))))</f>
        <v>Dynamic Model</v>
      </c>
      <c r="C60" s="1" t="str">
        <f aca="false">CONCATENATE(MID(A60,5,1000)," details to be created in the system")</f>
        <v>EmployeeCertification details to be created in the system</v>
      </c>
      <c r="D60" s="7" t="n">
        <f aca="false">IF(LEFT(Table2[[#This Row],[Tab Name]],1)="&lt;",D59+1,D59)</f>
        <v>45</v>
      </c>
    </row>
    <row r="61" customFormat="false" ht="15" hidden="false" customHeight="true" outlineLevel="0" collapsed="false">
      <c r="A61" s="1" t="s">
        <v>68</v>
      </c>
      <c r="B61" s="1" t="str">
        <f aca="false">IF(LEFT(Table2[[#This Row],[Tab Name]],4)="&lt;SM&gt;","Static Model",IF(LEFT(Table2[[#This Row],[Tab Name]],4)="&lt;DM&gt;","Dynamic Model",IF(LEFT(Table2[[#This Row],[Tab Name]],4)="&lt;ST&gt;","Smart Table",IF(LEFT(Table2[[#This Row],[Tab Name]],4)="&lt;GT&gt;","Generic Table",""))))</f>
        <v>Dynamic Model</v>
      </c>
      <c r="C61" s="1" t="str">
        <f aca="false">CONCATENATE(MID(A61,5,1000)," details to be created in the system")</f>
        <v>SamplingPlan details to be created in the system</v>
      </c>
      <c r="D61" s="7" t="n">
        <f aca="false">IF(LEFT(Table2[[#This Row],[Tab Name]],1)="&lt;",D60+1,D60)</f>
        <v>46</v>
      </c>
    </row>
    <row r="62" customFormat="false" ht="15" hidden="false" customHeight="true" outlineLevel="0" collapsed="false">
      <c r="A62" s="1" t="s">
        <v>69</v>
      </c>
      <c r="B62" s="1" t="str">
        <f aca="false">IF(LEFT(Table2[[#This Row],[Tab Name]],4)="&lt;SM&gt;","Static Model",IF(LEFT(Table2[[#This Row],[Tab Name]],4)="&lt;DM&gt;","Dynamic Model",IF(LEFT(Table2[[#This Row],[Tab Name]],4)="&lt;ST&gt;","Smart Table",IF(LEFT(Table2[[#This Row],[Tab Name]],4)="&lt;GT&gt;","Generic Table",""))))</f>
        <v/>
      </c>
      <c r="C62" s="1" t="str">
        <f aca="false">CONCATENATE(MID(A62,5,1000)," details to be created in the system")</f>
        <v>ntextInformation details to be created in the system</v>
      </c>
      <c r="D62" s="7" t="n">
        <f aca="false">IF(LEFT(Table2[[#This Row],[Tab Name]],1)="&lt;",D61+1,D61)</f>
        <v>46</v>
      </c>
    </row>
    <row r="63" customFormat="false" ht="15" hidden="false" customHeight="true" outlineLevel="0" collapsed="false">
      <c r="A63" s="1" t="s">
        <v>70</v>
      </c>
      <c r="B63" s="1" t="str">
        <f aca="false">IF(LEFT(Table2[[#This Row],[Tab Name]],4)="&lt;SM&gt;","Static Model",IF(LEFT(Table2[[#This Row],[Tab Name]],4)="&lt;DM&gt;","Dynamic Model",IF(LEFT(Table2[[#This Row],[Tab Name]],4)="&lt;ST&gt;","Smart Table",IF(LEFT(Table2[[#This Row],[Tab Name]],4)="&lt;GT&gt;","Generic Table",""))))</f>
        <v>Dynamic Model</v>
      </c>
      <c r="C63" s="1" t="str">
        <f aca="false">CONCATENATE(MID(A63,5,1000)," details to be created in the system")</f>
        <v>SamplingPlanInstance details to be created in the system</v>
      </c>
      <c r="D63" s="7" t="n">
        <f aca="false">IF(LEFT(Table2[[#This Row],[Tab Name]],1)="&lt;",D62+1,D62)</f>
        <v>47</v>
      </c>
    </row>
    <row r="64" customFormat="false" ht="15" hidden="false" customHeight="true" outlineLevel="0" collapsed="false">
      <c r="A64" s="1" t="s">
        <v>71</v>
      </c>
      <c r="B64" s="1" t="str">
        <f aca="false">IF(LEFT(Table2[[#This Row],[Tab Name]],4)="&lt;SM&gt;","Static Model",IF(LEFT(Table2[[#This Row],[Tab Name]],4)="&lt;DM&gt;","Dynamic Model",IF(LEFT(Table2[[#This Row],[Tab Name]],4)="&lt;ST&gt;","Smart Table",IF(LEFT(Table2[[#This Row],[Tab Name]],4)="&lt;GT&gt;","Generic Table",""))))</f>
        <v>Dynamic Model</v>
      </c>
      <c r="C64" s="1" t="str">
        <f aca="false">CONCATENATE(MID(A64,5,1000)," details to be created in the system")</f>
        <v>SamplingPattern details to be created in the system</v>
      </c>
      <c r="D64" s="7" t="n">
        <f aca="false">IF(LEFT(Table2[[#This Row],[Tab Name]],1)="&lt;",D63+1,D63)</f>
        <v>48</v>
      </c>
    </row>
    <row r="65" customFormat="false" ht="15" hidden="false" customHeight="true" outlineLevel="0" collapsed="false">
      <c r="A65" s="1" t="s">
        <v>72</v>
      </c>
      <c r="B65" s="1" t="str">
        <f aca="false">IF(LEFT(Table2[[#This Row],[Tab Name]],4)="&lt;SM&gt;","Static Model",IF(LEFT(Table2[[#This Row],[Tab Name]],4)="&lt;DM&gt;","Dynamic Model",IF(LEFT(Table2[[#This Row],[Tab Name]],4)="&lt;ST&gt;","Smart Table",IF(LEFT(Table2[[#This Row],[Tab Name]],4)="&lt;GT&gt;","Generic Table",""))))</f>
        <v>Dynamic Model</v>
      </c>
      <c r="C65" s="1" t="str">
        <f aca="false">CONCATENATE(MID(A65,5,1000)," details to be created in the system")</f>
        <v>BusinessPartner details to be created in the system</v>
      </c>
      <c r="D65" s="7" t="n">
        <f aca="false">IF(LEFT(Table2[[#This Row],[Tab Name]],1)="&lt;",D64+1,D64)</f>
        <v>49</v>
      </c>
    </row>
    <row r="66" customFormat="false" ht="15" hidden="false" customHeight="true" outlineLevel="0" collapsed="false">
      <c r="A66" s="1" t="s">
        <v>73</v>
      </c>
      <c r="B66" s="1" t="str">
        <f aca="false">IF(LEFT(Table2[[#This Row],[Tab Name]],4)="&lt;SM&gt;","Static Model",IF(LEFT(Table2[[#This Row],[Tab Name]],4)="&lt;DM&gt;","Dynamic Model",IF(LEFT(Table2[[#This Row],[Tab Name]],4)="&lt;ST&gt;","Smart Table",IF(LEFT(Table2[[#This Row],[Tab Name]],4)="&lt;GT&gt;","Generic Table",""))))</f>
        <v>Dynamic Model</v>
      </c>
      <c r="C66" s="1" t="str">
        <f aca="false">CONCATENATE(MID(A66,5,1000)," details to be created in the system")</f>
        <v>Reason details to be created in the system</v>
      </c>
      <c r="D66" s="7" t="n">
        <f aca="false">IF(LEFT(Table2[[#This Row],[Tab Name]],1)="&lt;",D65+1,D65)</f>
        <v>50</v>
      </c>
    </row>
    <row r="67" customFormat="false" ht="15" hidden="false" customHeight="true" outlineLevel="0" collapsed="false">
      <c r="A67" s="1" t="s">
        <v>74</v>
      </c>
      <c r="B67" s="1" t="str">
        <f aca="false">IF(LEFT(Table2[[#This Row],[Tab Name]],4)="&lt;SM&gt;","Static Model",IF(LEFT(Table2[[#This Row],[Tab Name]],4)="&lt;DM&gt;","Dynamic Model",IF(LEFT(Table2[[#This Row],[Tab Name]],4)="&lt;ST&gt;","Smart Table",IF(LEFT(Table2[[#This Row],[Tab Name]],4)="&lt;GT&gt;","Generic Table",""))))</f>
        <v>Dynamic Model</v>
      </c>
      <c r="C67" s="1" t="str">
        <f aca="false">CONCATENATE(MID(A67,5,1000)," details to be created in the system")</f>
        <v>ReasonRepairAction details to be created in the system</v>
      </c>
      <c r="D67" s="7" t="n">
        <f aca="false">IF(LEFT(Table2[[#This Row],[Tab Name]],1)="&lt;",D66+1,D66)</f>
        <v>51</v>
      </c>
    </row>
    <row r="68" customFormat="false" ht="15" hidden="false" customHeight="true" outlineLevel="0" collapsed="false">
      <c r="A68" s="1" t="s">
        <v>75</v>
      </c>
      <c r="B68" s="1" t="str">
        <f aca="false">IF(LEFT(Table2[[#This Row],[Tab Name]],4)="&lt;SM&gt;","Static Model",IF(LEFT(Table2[[#This Row],[Tab Name]],4)="&lt;DM&gt;","Dynamic Model",IF(LEFT(Table2[[#This Row],[Tab Name]],4)="&lt;ST&gt;","Smart Table",IF(LEFT(Table2[[#This Row],[Tab Name]],4)="&lt;GT&gt;","Generic Table",""))))</f>
        <v>Generic Table</v>
      </c>
      <c r="C68" s="1" t="str">
        <f aca="false">CONCATENATE(MID(A68,5,1000)," details to be created in the system")</f>
        <v>AQLAcceptanceQualityLimit details to be created in the system</v>
      </c>
      <c r="D68" s="7" t="n">
        <f aca="false">IF(LEFT(Table2[[#This Row],[Tab Name]],1)="&lt;",D67+1,D67)</f>
        <v>52</v>
      </c>
    </row>
    <row r="69" customFormat="false" ht="15" hidden="false" customHeight="true" outlineLevel="0" collapsed="false">
      <c r="A69" s="1" t="s">
        <v>76</v>
      </c>
      <c r="B69" s="1" t="str">
        <f aca="false">IF(LEFT(Table2[[#This Row],[Tab Name]],4)="&lt;SM&gt;","Static Model",IF(LEFT(Table2[[#This Row],[Tab Name]],4)="&lt;DM&gt;","Dynamic Model",IF(LEFT(Table2[[#This Row],[Tab Name]],4)="&lt;ST&gt;","Smart Table",IF(LEFT(Table2[[#This Row],[Tab Name]],4)="&lt;GT&gt;","Generic Table",""))))</f>
        <v>Generic Table</v>
      </c>
      <c r="C69" s="1" t="str">
        <f aca="false">CONCATENATE(MID(A69,5,1000)," details to be created in the system")</f>
        <v>AQLSamplingCode details to be created in the system</v>
      </c>
      <c r="D69" s="7" t="n">
        <f aca="false">IF(LEFT(Table2[[#This Row],[Tab Name]],1)="&lt;",D68+1,D68)</f>
        <v>53</v>
      </c>
    </row>
    <row r="70" customFormat="false" ht="15" hidden="false" customHeight="true" outlineLevel="0" collapsed="false">
      <c r="A70" s="1" t="s">
        <v>77</v>
      </c>
      <c r="B70" s="1" t="str">
        <f aca="false">IF(LEFT(Table2[[#This Row],[Tab Name]],4)="&lt;SM&gt;","Static Model",IF(LEFT(Table2[[#This Row],[Tab Name]],4)="&lt;DM&gt;","Dynamic Model",IF(LEFT(Table2[[#This Row],[Tab Name]],4)="&lt;ST&gt;","Smart Table",IF(LEFT(Table2[[#This Row],[Tab Name]],4)="&lt;GT&gt;","Generic Table",""))))</f>
        <v>Generic Table</v>
      </c>
      <c r="C70" s="1" t="str">
        <f aca="false">CONCATENATE(MID(A70,5,1000)," details to be created in the system")</f>
        <v>InspectionSeverity details to be created in the system</v>
      </c>
      <c r="D70" s="7" t="n">
        <f aca="false">IF(LEFT(Table2[[#This Row],[Tab Name]],1)="&lt;",D69+1,D69)</f>
        <v>54</v>
      </c>
    </row>
    <row r="71" customFormat="false" ht="15" hidden="false" customHeight="true" outlineLevel="0" collapsed="false">
      <c r="A71" s="1" t="s">
        <v>78</v>
      </c>
      <c r="B71" s="1" t="str">
        <f aca="false">IF(LEFT(Table2[[#This Row],[Tab Name]],4)="&lt;SM&gt;","Static Model",IF(LEFT(Table2[[#This Row],[Tab Name]],4)="&lt;DM&gt;","Dynamic Model",IF(LEFT(Table2[[#This Row],[Tab Name]],4)="&lt;ST&gt;","Smart Table",IF(LEFT(Table2[[#This Row],[Tab Name]],4)="&lt;GT&gt;","Generic Table",""))))</f>
        <v>Dynamic Model</v>
      </c>
      <c r="C71" s="1" t="str">
        <f aca="false">CONCATENATE(MID(A71,5,1000)," details to be created in the system")</f>
        <v>Step details to be created in the system</v>
      </c>
      <c r="D71" s="7" t="n">
        <f aca="false">IF(LEFT(Table2[[#This Row],[Tab Name]],1)="&lt;",D70+1,D70)</f>
        <v>55</v>
      </c>
    </row>
    <row r="72" customFormat="false" ht="15" hidden="false" customHeight="true" outlineLevel="0" collapsed="false">
      <c r="A72" s="1" t="s">
        <v>79</v>
      </c>
      <c r="B72" s="1" t="str">
        <f aca="false">IF(LEFT(Table2[[#This Row],[Tab Name]],4)="&lt;SM&gt;","Static Model",IF(LEFT(Table2[[#This Row],[Tab Name]],4)="&lt;DM&gt;","Dynamic Model",IF(LEFT(Table2[[#This Row],[Tab Name]],4)="&lt;ST&gt;","Smart Table",IF(LEFT(Table2[[#This Row],[Tab Name]],4)="&lt;GT&gt;","Generic Table",""))))</f>
        <v/>
      </c>
      <c r="C72" s="1" t="str">
        <f aca="false">CONCATENATE(MID(A72,5,1000)," details to be created in the system")</f>
        <v>Reasons details to be created in the system</v>
      </c>
      <c r="D72" s="7" t="n">
        <f aca="false">IF(LEFT(Table2[[#This Row],[Tab Name]],1)="&lt;",D71+1,D71)</f>
        <v>55</v>
      </c>
    </row>
    <row r="73" customFormat="false" ht="15" hidden="false" customHeight="true" outlineLevel="0" collapsed="false">
      <c r="A73" s="1" t="s">
        <v>80</v>
      </c>
      <c r="B73" s="1" t="str">
        <f aca="false">IF(LEFT(Table2[[#This Row],[Tab Name]],4)="&lt;SM&gt;","Static Model",IF(LEFT(Table2[[#This Row],[Tab Name]],4)="&lt;DM&gt;","Dynamic Model",IF(LEFT(Table2[[#This Row],[Tab Name]],4)="&lt;ST&gt;","Smart Table",IF(LEFT(Table2[[#This Row],[Tab Name]],4)="&lt;GT&gt;","Generic Table",""))))</f>
        <v/>
      </c>
      <c r="C73" s="1" t="str">
        <f aca="false">CONCATENATE(MID(A73,5,1000)," details to be created in the system")</f>
        <v>SamplingPlan details to be created in the system</v>
      </c>
      <c r="D73" s="7" t="n">
        <f aca="false">IF(LEFT(Table2[[#This Row],[Tab Name]],1)="&lt;",D72+1,D72)</f>
        <v>55</v>
      </c>
    </row>
    <row r="74" customFormat="false" ht="15" hidden="false" customHeight="true" outlineLevel="0" collapsed="false">
      <c r="A74" s="1" t="s">
        <v>81</v>
      </c>
      <c r="B74" s="1" t="str">
        <f aca="false">IF(LEFT(Table2[[#This Row],[Tab Name]],4)="&lt;SM&gt;","Static Model",IF(LEFT(Table2[[#This Row],[Tab Name]],4)="&lt;DM&gt;","Dynamic Model",IF(LEFT(Table2[[#This Row],[Tab Name]],4)="&lt;ST&gt;","Smart Table",IF(LEFT(Table2[[#This Row],[Tab Name]],4)="&lt;GT&gt;","Generic Table",""))))</f>
        <v/>
      </c>
      <c r="C74" s="1" t="str">
        <f aca="false">CONCATENATE(MID(A74,5,1000)," details to be created in the system")</f>
        <v>LogicalName details to be created in the system</v>
      </c>
      <c r="D74" s="7" t="n">
        <f aca="false">IF(LEFT(Table2[[#This Row],[Tab Name]],1)="&lt;",D73+1,D73)</f>
        <v>55</v>
      </c>
    </row>
    <row r="75" customFormat="false" ht="15" hidden="false" customHeight="true" outlineLevel="0" collapsed="false">
      <c r="A75" s="1" t="s">
        <v>82</v>
      </c>
      <c r="B75" s="1" t="str">
        <f aca="false">IF(LEFT(Table2[[#This Row],[Tab Name]],4)="&lt;SM&gt;","Static Model",IF(LEFT(Table2[[#This Row],[Tab Name]],4)="&lt;DM&gt;","Dynamic Model",IF(LEFT(Table2[[#This Row],[Tab Name]],4)="&lt;ST&gt;","Smart Table",IF(LEFT(Table2[[#This Row],[Tab Name]],4)="&lt;GT&gt;","Generic Table",""))))</f>
        <v/>
      </c>
      <c r="C75" s="1" t="str">
        <f aca="false">CONCATENATE(MID(A75,5,1000)," details to be created in the system")</f>
        <v>ContextInformation details to be created in the system</v>
      </c>
      <c r="D75" s="7" t="n">
        <f aca="false">IF(LEFT(Table2[[#This Row],[Tab Name]],1)="&lt;",D74+1,D74)</f>
        <v>55</v>
      </c>
    </row>
    <row r="76" customFormat="false" ht="15" hidden="false" customHeight="true" outlineLevel="0" collapsed="false">
      <c r="A76" s="1" t="s">
        <v>83</v>
      </c>
      <c r="B76" s="1" t="str">
        <f aca="false">IF(LEFT(Table2[[#This Row],[Tab Name]],4)="&lt;SM&gt;","Static Model",IF(LEFT(Table2[[#This Row],[Tab Name]],4)="&lt;DM&gt;","Dynamic Model",IF(LEFT(Table2[[#This Row],[Tab Name]],4)="&lt;ST&gt;","Smart Table",IF(LEFT(Table2[[#This Row],[Tab Name]],4)="&lt;GT&gt;","Generic Table",""))))</f>
        <v/>
      </c>
      <c r="C76" s="1" t="str">
        <f aca="false">CONCATENATE(MID(A76,5,1000)," details to be created in the system")</f>
        <v>SwitchingRule details to be created in the system</v>
      </c>
      <c r="D76" s="7" t="n">
        <f aca="false">IF(LEFT(Table2[[#This Row],[Tab Name]],1)="&lt;",D75+1,D75)</f>
        <v>55</v>
      </c>
    </row>
    <row r="77" customFormat="false" ht="15" hidden="false" customHeight="true" outlineLevel="0" collapsed="false">
      <c r="A77" s="1" t="s">
        <v>84</v>
      </c>
      <c r="B77" s="1" t="str">
        <f aca="false">IF(LEFT(Table2[[#This Row],[Tab Name]],4)="&lt;SM&gt;","Static Model",IF(LEFT(Table2[[#This Row],[Tab Name]],4)="&lt;DM&gt;","Dynamic Model",IF(LEFT(Table2[[#This Row],[Tab Name]],4)="&lt;ST&gt;","Smart Table",IF(LEFT(Table2[[#This Row],[Tab Name]],4)="&lt;GT&gt;","Generic Table",""))))</f>
        <v/>
      </c>
      <c r="C77" s="1" t="str">
        <f aca="false">CONCATENATE(MID(A77,5,1000)," details to be created in the system")</f>
        <v>InspectionSeverityInstance details to be created in the system</v>
      </c>
      <c r="D77" s="7" t="n">
        <f aca="false">IF(LEFT(Table2[[#This Row],[Tab Name]],1)="&lt;",D76+1,D76)</f>
        <v>55</v>
      </c>
    </row>
    <row r="78" customFormat="false" ht="15" hidden="false" customHeight="true" outlineLevel="0" collapsed="false">
      <c r="A78" s="1" t="s">
        <v>85</v>
      </c>
      <c r="B78" s="1" t="str">
        <f aca="false">IF(LEFT(Table2[[#This Row],[Tab Name]],4)="&lt;SM&gt;","Static Model",IF(LEFT(Table2[[#This Row],[Tab Name]],4)="&lt;DM&gt;","Dynamic Model",IF(LEFT(Table2[[#This Row],[Tab Name]],4)="&lt;ST&gt;","Smart Table",IF(LEFT(Table2[[#This Row],[Tab Name]],4)="&lt;GT&gt;","Generic Table",""))))</f>
        <v>Dynamic Model</v>
      </c>
      <c r="C78" s="1" t="str">
        <f aca="false">CONCATENATE(MID(A78,5,1000)," details to be created in the system")</f>
        <v>ScheduleFeedStep details to be created in the system</v>
      </c>
      <c r="D78" s="7" t="n">
        <f aca="false">IF(LEFT(Table2[[#This Row],[Tab Name]],1)="&lt;",D77+1,D77)</f>
        <v>56</v>
      </c>
    </row>
    <row r="79" customFormat="false" ht="15" hidden="false" customHeight="true" outlineLevel="0" collapsed="false">
      <c r="A79" s="1" t="s">
        <v>86</v>
      </c>
      <c r="B79" s="1" t="str">
        <f aca="false">IF(LEFT(Table2[[#This Row],[Tab Name]],4)="&lt;SM&gt;","Static Model",IF(LEFT(Table2[[#This Row],[Tab Name]],4)="&lt;DM&gt;","Dynamic Model",IF(LEFT(Table2[[#This Row],[Tab Name]],4)="&lt;ST&gt;","Smart Table",IF(LEFT(Table2[[#This Row],[Tab Name]],4)="&lt;GT&gt;","Generic Table",""))))</f>
        <v>Dynamic Model</v>
      </c>
      <c r="C79" s="1" t="str">
        <f aca="false">CONCATENATE(MID(A79,5,1000)," details to be created in the system")</f>
        <v>StepReason details to be created in the system</v>
      </c>
      <c r="D79" s="7" t="n">
        <f aca="false">IF(LEFT(Table2[[#This Row],[Tab Name]],1)="&lt;",D78+1,D78)</f>
        <v>57</v>
      </c>
    </row>
    <row r="80" customFormat="false" ht="15" hidden="false" customHeight="true" outlineLevel="0" collapsed="false">
      <c r="A80" s="1" t="s">
        <v>87</v>
      </c>
      <c r="B80" s="1" t="str">
        <f aca="false">IF(LEFT(Table2[[#This Row],[Tab Name]],4)="&lt;SM&gt;","Static Model",IF(LEFT(Table2[[#This Row],[Tab Name]],4)="&lt;DM&gt;","Dynamic Model",IF(LEFT(Table2[[#This Row],[Tab Name]],4)="&lt;ST&gt;","Smart Table",IF(LEFT(Table2[[#This Row],[Tab Name]],4)="&lt;GT&gt;","Generic Table",""))))</f>
        <v>Dynamic Model</v>
      </c>
      <c r="C80" s="1" t="str">
        <f aca="false">CONCATENATE(MID(A80,5,1000)," details to be created in the system")</f>
        <v>Flow details to be created in the system</v>
      </c>
      <c r="D80" s="7" t="n">
        <f aca="false">IF(LEFT(Table2[[#This Row],[Tab Name]],1)="&lt;",D79+1,D79)</f>
        <v>58</v>
      </c>
    </row>
    <row r="81" customFormat="false" ht="15" hidden="false" customHeight="true" outlineLevel="0" collapsed="false">
      <c r="A81" s="1" t="s">
        <v>88</v>
      </c>
      <c r="B81" s="1" t="str">
        <f aca="false">IF(LEFT(Table2[[#This Row],[Tab Name]],4)="&lt;SM&gt;","Static Model",IF(LEFT(Table2[[#This Row],[Tab Name]],4)="&lt;DM&gt;","Dynamic Model",IF(LEFT(Table2[[#This Row],[Tab Name]],4)="&lt;ST&gt;","Smart Table",IF(LEFT(Table2[[#This Row],[Tab Name]],4)="&lt;GT&gt;","Generic Table",""))))</f>
        <v/>
      </c>
      <c r="C81" s="1" t="str">
        <f aca="false">CONCATENATE(MID(A81,5,1000)," details to be created in the system")</f>
        <v>Structures details to be created in the system</v>
      </c>
      <c r="D81" s="7" t="n">
        <f aca="false">IF(LEFT(Table2[[#This Row],[Tab Name]],1)="&lt;",D80+1,D80)</f>
        <v>58</v>
      </c>
    </row>
    <row r="82" customFormat="false" ht="15" hidden="false" customHeight="true" outlineLevel="0" collapsed="false">
      <c r="A82" s="1" t="s">
        <v>89</v>
      </c>
      <c r="B82" s="1" t="str">
        <f aca="false">IF(LEFT(Table2[[#This Row],[Tab Name]],4)="&lt;SM&gt;","Static Model",IF(LEFT(Table2[[#This Row],[Tab Name]],4)="&lt;DM&gt;","Dynamic Model",IF(LEFT(Table2[[#This Row],[Tab Name]],4)="&lt;ST&gt;","Smart Table",IF(LEFT(Table2[[#This Row],[Tab Name]],4)="&lt;GT&gt;","Generic Table",""))))</f>
        <v/>
      </c>
      <c r="C82" s="1" t="str">
        <f aca="false">CONCATENATE(MID(A82,5,1000)," details to be created in the system")</f>
        <v>LogicalName details to be created in the system</v>
      </c>
      <c r="D82" s="7" t="n">
        <f aca="false">IF(LEFT(Table2[[#This Row],[Tab Name]],1)="&lt;",D81+1,D81)</f>
        <v>58</v>
      </c>
    </row>
    <row r="83" customFormat="false" ht="15" hidden="false" customHeight="true" outlineLevel="0" collapsed="false">
      <c r="A83" s="1" t="s">
        <v>90</v>
      </c>
      <c r="B83" s="1" t="str">
        <f aca="false">IF(LEFT(Table2[[#This Row],[Tab Name]],4)="&lt;SM&gt;","Static Model",IF(LEFT(Table2[[#This Row],[Tab Name]],4)="&lt;DM&gt;","Dynamic Model",IF(LEFT(Table2[[#This Row],[Tab Name]],4)="&lt;ST&gt;","Smart Table",IF(LEFT(Table2[[#This Row],[Tab Name]],4)="&lt;GT&gt;","Generic Table",""))))</f>
        <v>Dynamic Model</v>
      </c>
      <c r="C83" s="1" t="str">
        <f aca="false">CONCATENATE(MID(A83,5,1000)," details to be created in the system")</f>
        <v>Parameter details to be created in the system</v>
      </c>
      <c r="D83" s="7" t="n">
        <f aca="false">IF(LEFT(Table2[[#This Row],[Tab Name]],1)="&lt;",D82+1,D82)</f>
        <v>59</v>
      </c>
    </row>
    <row r="84" customFormat="false" ht="15" hidden="false" customHeight="true" outlineLevel="0" collapsed="false">
      <c r="A84" s="1" t="s">
        <v>91</v>
      </c>
      <c r="B84" s="1" t="str">
        <f aca="false">IF(LEFT(Table2[[#This Row],[Tab Name]],4)="&lt;SM&gt;","Static Model",IF(LEFT(Table2[[#This Row],[Tab Name]],4)="&lt;DM&gt;","Dynamic Model",IF(LEFT(Table2[[#This Row],[Tab Name]],4)="&lt;ST&gt;","Smart Table",IF(LEFT(Table2[[#This Row],[Tab Name]],4)="&lt;GT&gt;","Generic Table",""))))</f>
        <v>Dynamic Model</v>
      </c>
      <c r="C84" s="1" t="str">
        <f aca="false">CONCATENATE(MID(A84,5,1000)," details to be created in the system")</f>
        <v>ProductGroup details to be created in the system</v>
      </c>
      <c r="D84" s="7" t="n">
        <f aca="false">IF(LEFT(Table2[[#This Row],[Tab Name]],1)="&lt;",D83+1,D83)</f>
        <v>60</v>
      </c>
    </row>
    <row r="85" customFormat="false" ht="15" hidden="false" customHeight="true" outlineLevel="0" collapsed="false">
      <c r="A85" s="1" t="s">
        <v>92</v>
      </c>
      <c r="B85" s="1" t="str">
        <f aca="false">IF(LEFT(Table2[[#This Row],[Tab Name]],4)="&lt;SM&gt;","Static Model",IF(LEFT(Table2[[#This Row],[Tab Name]],4)="&lt;DM&gt;","Dynamic Model",IF(LEFT(Table2[[#This Row],[Tab Name]],4)="&lt;ST&gt;","Smart Table",IF(LEFT(Table2[[#This Row],[Tab Name]],4)="&lt;GT&gt;","Generic Table",""))))</f>
        <v/>
      </c>
      <c r="C85" s="1" t="str">
        <f aca="false">CONCATENATE(MID(A85,5,1000)," details to be created in the system")</f>
        <v>uctGroupParameters details to be created in the system</v>
      </c>
      <c r="D85" s="7" t="n">
        <f aca="false">IF(LEFT(Table2[[#This Row],[Tab Name]],1)="&lt;",D84+1,D84)</f>
        <v>60</v>
      </c>
    </row>
    <row r="86" customFormat="false" ht="15" hidden="false" customHeight="true" outlineLevel="0" collapsed="false">
      <c r="A86" s="1" t="s">
        <v>93</v>
      </c>
      <c r="B86" s="1" t="str">
        <f aca="false">IF(LEFT(Table2[[#This Row],[Tab Name]],4)="&lt;SM&gt;","Static Model",IF(LEFT(Table2[[#This Row],[Tab Name]],4)="&lt;DM&gt;","Dynamic Model",IF(LEFT(Table2[[#This Row],[Tab Name]],4)="&lt;ST&gt;","Smart Table",IF(LEFT(Table2[[#This Row],[Tab Name]],4)="&lt;GT&gt;","Generic Table",""))))</f>
        <v>Generic Table</v>
      </c>
      <c r="C86" s="1" t="str">
        <f aca="false">CONCATENATE(MID(A86,5,1000)," details to be created in the system")</f>
        <v>MoistureSensitivityLevel details to be created in the system</v>
      </c>
      <c r="D86" s="7" t="n">
        <f aca="false">IF(LEFT(Table2[[#This Row],[Tab Name]],1)="&lt;",D85+1,D85)</f>
        <v>61</v>
      </c>
    </row>
    <row r="87" customFormat="false" ht="15" hidden="false" customHeight="true" outlineLevel="0" collapsed="false">
      <c r="A87" s="1" t="s">
        <v>94</v>
      </c>
      <c r="B87" s="1" t="str">
        <f aca="false">IF(LEFT(Table2[[#This Row],[Tab Name]],4)="&lt;SM&gt;","Static Model",IF(LEFT(Table2[[#This Row],[Tab Name]],4)="&lt;DM&gt;","Dynamic Model",IF(LEFT(Table2[[#This Row],[Tab Name]],4)="&lt;ST&gt;","Smart Table",IF(LEFT(Table2[[#This Row],[Tab Name]],4)="&lt;GT&gt;","Generic Table",""))))</f>
        <v>Dynamic Model</v>
      </c>
      <c r="C87" s="1" t="str">
        <f aca="false">CONCATENATE(MID(A87,5,1000)," details to be created in the system")</f>
        <v>Product details to be created in the system</v>
      </c>
      <c r="D87" s="7" t="n">
        <f aca="false">IF(LEFT(Table2[[#This Row],[Tab Name]],1)="&lt;",D86+1,D86)</f>
        <v>62</v>
      </c>
    </row>
    <row r="88" customFormat="false" ht="15" hidden="false" customHeight="true" outlineLevel="0" collapsed="false">
      <c r="A88" s="1" t="s">
        <v>95</v>
      </c>
      <c r="B88" s="1" t="str">
        <f aca="false">IF(LEFT(Table2[[#This Row],[Tab Name]],4)="&lt;SM&gt;","Static Model",IF(LEFT(Table2[[#This Row],[Tab Name]],4)="&lt;DM&gt;","Dynamic Model",IF(LEFT(Table2[[#This Row],[Tab Name]],4)="&lt;ST&gt;","Smart Table",IF(LEFT(Table2[[#This Row],[Tab Name]],4)="&lt;GT&gt;","Generic Table",""))))</f>
        <v/>
      </c>
      <c r="C88" s="1" t="str">
        <f aca="false">CONCATENATE(MID(A88,5,1000)," details to be created in the system")</f>
        <v>uctParameters details to be created in the system</v>
      </c>
      <c r="D88" s="7" t="n">
        <f aca="false">IF(LEFT(Table2[[#This Row],[Tab Name]],1)="&lt;",D87+1,D87)</f>
        <v>62</v>
      </c>
    </row>
    <row r="89" customFormat="false" ht="15" hidden="false" customHeight="true" outlineLevel="0" collapsed="false">
      <c r="A89" s="1" t="s">
        <v>96</v>
      </c>
      <c r="B89" s="1" t="str">
        <f aca="false">IF(LEFT(Table2[[#This Row],[Tab Name]],4)="&lt;SM&gt;","Static Model",IF(LEFT(Table2[[#This Row],[Tab Name]],4)="&lt;DM&gt;","Dynamic Model",IF(LEFT(Table2[[#This Row],[Tab Name]],4)="&lt;ST&gt;","Smart Table",IF(LEFT(Table2[[#This Row],[Tab Name]],4)="&lt;GT&gt;","Generic Table",""))))</f>
        <v/>
      </c>
      <c r="C89" s="1" t="str">
        <f aca="false">CONCATENATE(MID(A89,5,1000)," details to be created in the system")</f>
        <v>uctManufacturer details to be created in the system</v>
      </c>
      <c r="D89" s="7" t="n">
        <f aca="false">IF(LEFT(Table2[[#This Row],[Tab Name]],1)="&lt;",D88+1,D88)</f>
        <v>62</v>
      </c>
    </row>
    <row r="90" customFormat="false" ht="15" hidden="false" customHeight="true" outlineLevel="0" collapsed="false">
      <c r="A90" s="1" t="s">
        <v>97</v>
      </c>
      <c r="B90" s="1" t="str">
        <f aca="false">IF(LEFT(Table2[[#This Row],[Tab Name]],4)="&lt;SM&gt;","Static Model",IF(LEFT(Table2[[#This Row],[Tab Name]],4)="&lt;DM&gt;","Dynamic Model",IF(LEFT(Table2[[#This Row],[Tab Name]],4)="&lt;ST&gt;","Smart Table",IF(LEFT(Table2[[#This Row],[Tab Name]],4)="&lt;GT&gt;","Generic Table",""))))</f>
        <v>Dynamic Model</v>
      </c>
      <c r="C90" s="1" t="str">
        <f aca="false">CONCATENATE(MID(A90,5,1000)," details to be created in the system")</f>
        <v>ProductBinning details to be created in the system</v>
      </c>
      <c r="D90" s="7" t="n">
        <f aca="false">IF(LEFT(Table2[[#This Row],[Tab Name]],1)="&lt;",D89+1,D89)</f>
        <v>63</v>
      </c>
    </row>
    <row r="91" customFormat="false" ht="15" hidden="false" customHeight="true" outlineLevel="0" collapsed="false">
      <c r="A91" s="1" t="s">
        <v>98</v>
      </c>
      <c r="B91" s="1" t="str">
        <f aca="false">IF(LEFT(Table2[[#This Row],[Tab Name]],4)="&lt;SM&gt;","Static Model",IF(LEFT(Table2[[#This Row],[Tab Name]],4)="&lt;DM&gt;","Dynamic Model",IF(LEFT(Table2[[#This Row],[Tab Name]],4)="&lt;ST&gt;","Smart Table",IF(LEFT(Table2[[#This Row],[Tab Name]],4)="&lt;GT&gt;","Generic Table",""))))</f>
        <v>Dynamic Model</v>
      </c>
      <c r="C91" s="1" t="str">
        <f aca="false">CONCATENATE(MID(A91,5,1000)," details to be created in the system")</f>
        <v>Plan details to be created in the system</v>
      </c>
      <c r="D91" s="7" t="n">
        <f aca="false">IF(LEFT(Table2[[#This Row],[Tab Name]],1)="&lt;",D90+1,D90)</f>
        <v>64</v>
      </c>
    </row>
    <row r="92" customFormat="false" ht="15" hidden="false" customHeight="true" outlineLevel="0" collapsed="false">
      <c r="A92" s="1" t="s">
        <v>99</v>
      </c>
      <c r="B92" s="1" t="str">
        <f aca="false">IF(LEFT(Table2[[#This Row],[Tab Name]],4)="&lt;SM&gt;","Static Model",IF(LEFT(Table2[[#This Row],[Tab Name]],4)="&lt;DM&gt;","Dynamic Model",IF(LEFT(Table2[[#This Row],[Tab Name]],4)="&lt;ST&gt;","Smart Table",IF(LEFT(Table2[[#This Row],[Tab Name]],4)="&lt;GT&gt;","Generic Table",""))))</f>
        <v/>
      </c>
      <c r="C92" s="1" t="str">
        <f aca="false">CONCATENATE(MID(A92,5,1000)," details to be created in the system")</f>
        <v>Items details to be created in the system</v>
      </c>
      <c r="D92" s="7" t="n">
        <f aca="false">IF(LEFT(Table2[[#This Row],[Tab Name]],1)="&lt;",D91+1,D91)</f>
        <v>64</v>
      </c>
    </row>
    <row r="93" customFormat="false" ht="15" hidden="false" customHeight="true" outlineLevel="0" collapsed="false">
      <c r="A93" s="1" t="s">
        <v>100</v>
      </c>
      <c r="B93" s="1" t="str">
        <f aca="false">IF(LEFT(Table2[[#This Row],[Tab Name]],4)="&lt;SM&gt;","Static Model",IF(LEFT(Table2[[#This Row],[Tab Name]],4)="&lt;DM&gt;","Dynamic Model",IF(LEFT(Table2[[#This Row],[Tab Name]],4)="&lt;ST&gt;","Smart Table",IF(LEFT(Table2[[#This Row],[Tab Name]],4)="&lt;GT&gt;","Generic Table",""))))</f>
        <v/>
      </c>
      <c r="C93" s="1" t="str">
        <f aca="false">CONCATENATE(MID(A93,5,1000)," details to be created in the system")</f>
        <v>Steps details to be created in the system</v>
      </c>
      <c r="D93" s="7" t="n">
        <f aca="false">IF(LEFT(Table2[[#This Row],[Tab Name]],1)="&lt;",D92+1,D92)</f>
        <v>64</v>
      </c>
    </row>
    <row r="94" customFormat="false" ht="15" hidden="false" customHeight="true" outlineLevel="0" collapsed="false">
      <c r="A94" s="1" t="s">
        <v>101</v>
      </c>
      <c r="B94" s="1" t="str">
        <f aca="false">IF(LEFT(Table2[[#This Row],[Tab Name]],4)="&lt;SM&gt;","Static Model",IF(LEFT(Table2[[#This Row],[Tab Name]],4)="&lt;DM&gt;","Dynamic Model",IF(LEFT(Table2[[#This Row],[Tab Name]],4)="&lt;ST&gt;","Smart Table",IF(LEFT(Table2[[#This Row],[Tab Name]],4)="&lt;GT&gt;","Generic Table",""))))</f>
        <v/>
      </c>
      <c r="C94" s="1" t="str">
        <f aca="false">CONCATENATE(MID(A94,5,1000)," details to be created in the system")</f>
        <v>MaterialTypes details to be created in the system</v>
      </c>
      <c r="D94" s="7" t="n">
        <f aca="false">IF(LEFT(Table2[[#This Row],[Tab Name]],1)="&lt;",D93+1,D93)</f>
        <v>64</v>
      </c>
    </row>
    <row r="95" customFormat="false" ht="15" hidden="false" customHeight="true" outlineLevel="0" collapsed="false">
      <c r="A95" s="1" t="s">
        <v>102</v>
      </c>
      <c r="B95" s="1" t="str">
        <f aca="false">IF(LEFT(Table2[[#This Row],[Tab Name]],4)="&lt;SM&gt;","Static Model",IF(LEFT(Table2[[#This Row],[Tab Name]],4)="&lt;DM&gt;","Dynamic Model",IF(LEFT(Table2[[#This Row],[Tab Name]],4)="&lt;ST&gt;","Smart Table",IF(LEFT(Table2[[#This Row],[Tab Name]],4)="&lt;GT&gt;","Generic Table",""))))</f>
        <v/>
      </c>
      <c r="C95" s="1" t="str">
        <f aca="false">CONCATENATE(MID(A95,5,1000)," details to be created in the system")</f>
        <v>Scenarios details to be created in the system</v>
      </c>
      <c r="D95" s="7" t="n">
        <f aca="false">IF(LEFT(Table2[[#This Row],[Tab Name]],1)="&lt;",D94+1,D94)</f>
        <v>64</v>
      </c>
    </row>
    <row r="96" customFormat="false" ht="15" hidden="false" customHeight="true" outlineLevel="0" collapsed="false">
      <c r="A96" s="1" t="s">
        <v>103</v>
      </c>
      <c r="B96" s="1" t="str">
        <f aca="false">IF(LEFT(Table2[[#This Row],[Tab Name]],4)="&lt;SM&gt;","Static Model",IF(LEFT(Table2[[#This Row],[Tab Name]],4)="&lt;DM&gt;","Dynamic Model",IF(LEFT(Table2[[#This Row],[Tab Name]],4)="&lt;ST&gt;","Smart Table",IF(LEFT(Table2[[#This Row],[Tab Name]],4)="&lt;GT&gt;","Generic Table",""))))</f>
        <v>Dynamic Model</v>
      </c>
      <c r="C96" s="1" t="str">
        <f aca="false">CONCATENATE(MID(A96,5,1000)," details to be created in the system")</f>
        <v>SetupMatrix details to be created in the system</v>
      </c>
      <c r="D96" s="7" t="n">
        <f aca="false">IF(LEFT(Table2[[#This Row],[Tab Name]],1)="&lt;",D95+1,D95)</f>
        <v>65</v>
      </c>
    </row>
    <row r="97" customFormat="false" ht="15" hidden="false" customHeight="true" outlineLevel="0" collapsed="false">
      <c r="A97" s="1" t="s">
        <v>104</v>
      </c>
      <c r="B97" s="1" t="str">
        <f aca="false">IF(LEFT(Table2[[#This Row],[Tab Name]],4)="&lt;SM&gt;","Static Model",IF(LEFT(Table2[[#This Row],[Tab Name]],4)="&lt;DM&gt;","Dynamic Model",IF(LEFT(Table2[[#This Row],[Tab Name]],4)="&lt;ST&gt;","Smart Table",IF(LEFT(Table2[[#This Row],[Tab Name]],4)="&lt;GT&gt;","Generic Table",""))))</f>
        <v/>
      </c>
      <c r="C97" s="1" t="str">
        <f aca="false">CONCATENATE(MID(A97,5,1000)," details to be created in the system")</f>
        <v>pMatrixTransitions details to be created in the system</v>
      </c>
      <c r="D97" s="7" t="n">
        <f aca="false">IF(LEFT(Table2[[#This Row],[Tab Name]],1)="&lt;",D96+1,D96)</f>
        <v>65</v>
      </c>
    </row>
    <row r="98" customFormat="false" ht="15" hidden="false" customHeight="true" outlineLevel="0" collapsed="false">
      <c r="A98" s="1" t="s">
        <v>105</v>
      </c>
      <c r="B98" s="1" t="str">
        <f aca="false">IF(LEFT(Table2[[#This Row],[Tab Name]],4)="&lt;SM&gt;","Static Model",IF(LEFT(Table2[[#This Row],[Tab Name]],4)="&lt;DM&gt;","Dynamic Model",IF(LEFT(Table2[[#This Row],[Tab Name]],4)="&lt;ST&gt;","Smart Table",IF(LEFT(Table2[[#This Row],[Tab Name]],4)="&lt;GT&gt;","Generic Table",""))))</f>
        <v>Dynamic Model</v>
      </c>
      <c r="C98" s="1" t="str">
        <f aca="false">CONCATENATE(MID(A98,5,1000)," details to be created in the system")</f>
        <v>Resource details to be created in the system</v>
      </c>
      <c r="D98" s="7" t="n">
        <f aca="false">IF(LEFT(Table2[[#This Row],[Tab Name]],1)="&lt;",D97+1,D97)</f>
        <v>66</v>
      </c>
    </row>
    <row r="99" customFormat="false" ht="15" hidden="false" customHeight="true" outlineLevel="0" collapsed="false">
      <c r="A99" s="1" t="s">
        <v>106</v>
      </c>
      <c r="B99" s="1" t="str">
        <f aca="false">IF(LEFT(Table2[[#This Row],[Tab Name]],4)="&lt;SM&gt;","Static Model",IF(LEFT(Table2[[#This Row],[Tab Name]],4)="&lt;DM&gt;","Dynamic Model",IF(LEFT(Table2[[#This Row],[Tab Name]],4)="&lt;ST&gt;","Smart Table",IF(LEFT(Table2[[#This Row],[Tab Name]],4)="&lt;GT&gt;","Generic Table",""))))</f>
        <v/>
      </c>
      <c r="C99" s="1" t="str">
        <f aca="false">CONCATENATE(MID(A99,5,1000)," details to be created in the system")</f>
        <v>ageBin details to be created in the system</v>
      </c>
      <c r="D99" s="7" t="n">
        <f aca="false">IF(LEFT(Table2[[#This Row],[Tab Name]],1)="&lt;",D98+1,D98)</f>
        <v>66</v>
      </c>
    </row>
    <row r="100" customFormat="false" ht="15" hidden="false" customHeight="true" outlineLevel="0" collapsed="false">
      <c r="A100" s="1" t="s">
        <v>107</v>
      </c>
      <c r="B100" s="1" t="str">
        <f aca="false">IF(LEFT(Table2[[#This Row],[Tab Name]],4)="&lt;SM&gt;","Static Model",IF(LEFT(Table2[[#This Row],[Tab Name]],4)="&lt;DM&gt;","Dynamic Model",IF(LEFT(Table2[[#This Row],[Tab Name]],4)="&lt;ST&gt;","Smart Table",IF(LEFT(Table2[[#This Row],[Tab Name]],4)="&lt;GT&gt;","Generic Table",""))))</f>
        <v/>
      </c>
      <c r="C100" s="1" t="str">
        <f aca="false">CONCATENATE(MID(A100,5,1000)," details to be created in the system")</f>
        <v>urceInventory details to be created in the system</v>
      </c>
      <c r="D100" s="7" t="n">
        <f aca="false">IF(LEFT(Table2[[#This Row],[Tab Name]],1)="&lt;",D99+1,D99)</f>
        <v>66</v>
      </c>
    </row>
    <row r="101" customFormat="false" ht="15" hidden="false" customHeight="true" outlineLevel="0" collapsed="false">
      <c r="A101" s="1" t="s">
        <v>108</v>
      </c>
      <c r="B101" s="1" t="str">
        <f aca="false">IF(LEFT(Table2[[#This Row],[Tab Name]],4)="&lt;SM&gt;","Static Model",IF(LEFT(Table2[[#This Row],[Tab Name]],4)="&lt;DM&gt;","Dynamic Model",IF(LEFT(Table2[[#This Row],[Tab Name]],4)="&lt;ST&gt;","Smart Table",IF(LEFT(Table2[[#This Row],[Tab Name]],4)="&lt;GT&gt;","Generic Table",""))))</f>
        <v/>
      </c>
      <c r="C101" s="1" t="str">
        <f aca="false">CONCATENATE(MID(A101,5,1000)," details to be created in the system")</f>
        <v>urceMeasurementCapability details to be created in the system</v>
      </c>
      <c r="D101" s="7" t="n">
        <f aca="false">IF(LEFT(Table2[[#This Row],[Tab Name]],1)="&lt;",D100+1,D100)</f>
        <v>66</v>
      </c>
    </row>
    <row r="102" customFormat="false" ht="15" hidden="false" customHeight="true" outlineLevel="0" collapsed="false">
      <c r="A102" s="1" t="s">
        <v>109</v>
      </c>
      <c r="B102" s="1" t="str">
        <f aca="false">IF(LEFT(Table2[[#This Row],[Tab Name]],4)="&lt;SM&gt;","Static Model",IF(LEFT(Table2[[#This Row],[Tab Name]],4)="&lt;DM&gt;","Dynamic Model",IF(LEFT(Table2[[#This Row],[Tab Name]],4)="&lt;ST&gt;","Smart Table",IF(LEFT(Table2[[#This Row],[Tab Name]],4)="&lt;GT&gt;","Generic Table",""))))</f>
        <v/>
      </c>
      <c r="C102" s="1" t="str">
        <f aca="false">CONCATENATE(MID(A102,5,1000)," details to be created in the system")</f>
        <v>urceInstruments details to be created in the system</v>
      </c>
      <c r="D102" s="7" t="n">
        <f aca="false">IF(LEFT(Table2[[#This Row],[Tab Name]],1)="&lt;",D101+1,D101)</f>
        <v>66</v>
      </c>
    </row>
    <row r="103" customFormat="false" ht="15" hidden="false" customHeight="true" outlineLevel="0" collapsed="false">
      <c r="A103" s="1" t="s">
        <v>110</v>
      </c>
      <c r="B103" s="1" t="str">
        <f aca="false">IF(LEFT(Table2[[#This Row],[Tab Name]],4)="&lt;SM&gt;","Static Model",IF(LEFT(Table2[[#This Row],[Tab Name]],4)="&lt;DM&gt;","Dynamic Model",IF(LEFT(Table2[[#This Row],[Tab Name]],4)="&lt;ST&gt;","Smart Table",IF(LEFT(Table2[[#This Row],[Tab Name]],4)="&lt;GT&gt;","Generic Table",""))))</f>
        <v/>
      </c>
      <c r="C103" s="1" t="str">
        <f aca="false">CONCATENATE(MID(A103,5,1000)," details to be created in the system")</f>
        <v>urceLocation details to be created in the system</v>
      </c>
      <c r="D103" s="7" t="n">
        <f aca="false">IF(LEFT(Table2[[#This Row],[Tab Name]],1)="&lt;",D102+1,D102)</f>
        <v>66</v>
      </c>
    </row>
    <row r="104" customFormat="false" ht="15" hidden="false" customHeight="true" outlineLevel="0" collapsed="false">
      <c r="A104" s="1" t="s">
        <v>111</v>
      </c>
      <c r="B104" s="1" t="str">
        <f aca="false">IF(LEFT(Table2[[#This Row],[Tab Name]],4)="&lt;SM&gt;","Static Model",IF(LEFT(Table2[[#This Row],[Tab Name]],4)="&lt;DM&gt;","Dynamic Model",IF(LEFT(Table2[[#This Row],[Tab Name]],4)="&lt;ST&gt;","Smart Table",IF(LEFT(Table2[[#This Row],[Tab Name]],4)="&lt;GT&gt;","Generic Table",""))))</f>
        <v>Dynamic Model</v>
      </c>
      <c r="C104" s="1" t="str">
        <f aca="false">CONCATENATE(MID(A104,5,1000)," details to be created in the system")</f>
        <v>ResourceDurable details to be created in the system</v>
      </c>
      <c r="D104" s="7" t="n">
        <f aca="false">IF(LEFT(Table2[[#This Row],[Tab Name]],1)="&lt;",D103+1,D103)</f>
        <v>67</v>
      </c>
    </row>
    <row r="105" customFormat="false" ht="15" hidden="false" customHeight="true" outlineLevel="0" collapsed="false">
      <c r="A105" s="1" t="s">
        <v>112</v>
      </c>
      <c r="B105" s="1" t="str">
        <f aca="false">IF(LEFT(Table2[[#This Row],[Tab Name]],4)="&lt;SM&gt;","Static Model",IF(LEFT(Table2[[#This Row],[Tab Name]],4)="&lt;DM&gt;","Dynamic Model",IF(LEFT(Table2[[#This Row],[Tab Name]],4)="&lt;ST&gt;","Smart Table",IF(LEFT(Table2[[#This Row],[Tab Name]],4)="&lt;GT&gt;","Generic Table",""))))</f>
        <v>Dynamic Model</v>
      </c>
      <c r="C105" s="1" t="str">
        <f aca="false">CONCATENATE(MID(A105,5,1000)," details to be created in the system")</f>
        <v>SubResource details to be created in the system</v>
      </c>
      <c r="D105" s="7" t="n">
        <f aca="false">IF(LEFT(Table2[[#This Row],[Tab Name]],1)="&lt;",D104+1,D104)</f>
        <v>68</v>
      </c>
    </row>
    <row r="106" customFormat="false" ht="15" hidden="false" customHeight="true" outlineLevel="0" collapsed="false">
      <c r="A106" s="1" t="s">
        <v>113</v>
      </c>
      <c r="B106" s="1" t="str">
        <f aca="false">IF(LEFT(Table2[[#This Row],[Tab Name]],4)="&lt;SM&gt;","Static Model",IF(LEFT(Table2[[#This Row],[Tab Name]],4)="&lt;DM&gt;","Dynamic Model",IF(LEFT(Table2[[#This Row],[Tab Name]],4)="&lt;ST&gt;","Smart Table",IF(LEFT(Table2[[#This Row],[Tab Name]],4)="&lt;GT&gt;","Generic Table",""))))</f>
        <v>Dynamic Model</v>
      </c>
      <c r="C106" s="1" t="str">
        <f aca="false">CONCATENATE(MID(A106,5,1000)," details to be created in the system")</f>
        <v>ResourceService details to be created in the system</v>
      </c>
      <c r="D106" s="7" t="n">
        <f aca="false">IF(LEFT(Table2[[#This Row],[Tab Name]],1)="&lt;",D105+1,D105)</f>
        <v>69</v>
      </c>
    </row>
    <row r="107" customFormat="false" ht="15" hidden="false" customHeight="true" outlineLevel="0" collapsed="false">
      <c r="A107" s="1" t="s">
        <v>114</v>
      </c>
      <c r="B107" s="1" t="str">
        <f aca="false">IF(LEFT(Table2[[#This Row],[Tab Name]],4)="&lt;SM&gt;","Static Model",IF(LEFT(Table2[[#This Row],[Tab Name]],4)="&lt;DM&gt;","Dynamic Model",IF(LEFT(Table2[[#This Row],[Tab Name]],4)="&lt;ST&gt;","Smart Table",IF(LEFT(Table2[[#This Row],[Tab Name]],4)="&lt;GT&gt;","Generic Table",""))))</f>
        <v>Dynamic Model</v>
      </c>
      <c r="C107" s="1" t="str">
        <f aca="false">CONCATENATE(MID(A107,5,1000)," details to be created in the system")</f>
        <v>ResourcePersonnelRequirements details to be created in the system</v>
      </c>
      <c r="D107" s="7" t="n">
        <f aca="false">IF(LEFT(Table2[[#This Row],[Tab Name]],1)="&lt;",D106+1,D106)</f>
        <v>70</v>
      </c>
    </row>
    <row r="108" customFormat="false" ht="15" hidden="false" customHeight="true" outlineLevel="0" collapsed="false">
      <c r="A108" s="1" t="s">
        <v>115</v>
      </c>
      <c r="B108" s="1" t="str">
        <f aca="false">IF(LEFT(Table2[[#This Row],[Tab Name]],4)="&lt;SM&gt;","Static Model",IF(LEFT(Table2[[#This Row],[Tab Name]],4)="&lt;DM&gt;","Dynamic Model",IF(LEFT(Table2[[#This Row],[Tab Name]],4)="&lt;ST&gt;","Smart Table",IF(LEFT(Table2[[#This Row],[Tab Name]],4)="&lt;GT&gt;","Generic Table",""))))</f>
        <v>Generic Table</v>
      </c>
      <c r="C108" s="1" t="str">
        <f aca="false">CONCATENATE(MID(A108,5,1000)," details to be created in the system")</f>
        <v>CalendarDayType details to be created in the system</v>
      </c>
      <c r="D108" s="7" t="n">
        <f aca="false">IF(LEFT(Table2[[#This Row],[Tab Name]],1)="&lt;",D107+1,D107)</f>
        <v>71</v>
      </c>
    </row>
    <row r="109" customFormat="false" ht="15" hidden="false" customHeight="true" outlineLevel="0" collapsed="false">
      <c r="A109" s="1" t="s">
        <v>116</v>
      </c>
      <c r="B109" s="1" t="str">
        <f aca="false">IF(LEFT(Table2[[#This Row],[Tab Name]],4)="&lt;SM&gt;","Static Model",IF(LEFT(Table2[[#This Row],[Tab Name]],4)="&lt;DM&gt;","Dynamic Model",IF(LEFT(Table2[[#This Row],[Tab Name]],4)="&lt;ST&gt;","Smart Table",IF(LEFT(Table2[[#This Row],[Tab Name]],4)="&lt;GT&gt;","Generic Table",""))))</f>
        <v>Dynamic Model</v>
      </c>
      <c r="C109" s="1" t="str">
        <f aca="false">CONCATENATE(MID(A109,5,1000)," details to be created in the system")</f>
        <v>ShiftPlan details to be created in the system</v>
      </c>
      <c r="D109" s="7" t="n">
        <f aca="false">IF(LEFT(Table2[[#This Row],[Tab Name]],1)="&lt;",D108+1,D108)</f>
        <v>72</v>
      </c>
    </row>
    <row r="110" customFormat="false" ht="15" hidden="false" customHeight="true" outlineLevel="0" collapsed="false">
      <c r="A110" s="1" t="s">
        <v>117</v>
      </c>
      <c r="B110" s="1" t="str">
        <f aca="false">IF(LEFT(Table2[[#This Row],[Tab Name]],4)="&lt;SM&gt;","Static Model",IF(LEFT(Table2[[#This Row],[Tab Name]],4)="&lt;DM&gt;","Dynamic Model",IF(LEFT(Table2[[#This Row],[Tab Name]],4)="&lt;ST&gt;","Smart Table",IF(LEFT(Table2[[#This Row],[Tab Name]],4)="&lt;GT&gt;","Generic Table",""))))</f>
        <v/>
      </c>
      <c r="C110" s="1" t="str">
        <f aca="false">CONCATENATE(MID(A110,5,1000)," details to be created in the system")</f>
        <v>tPlanWorkgroups details to be created in the system</v>
      </c>
      <c r="D110" s="7" t="n">
        <f aca="false">IF(LEFT(Table2[[#This Row],[Tab Name]],1)="&lt;",D109+1,D109)</f>
        <v>72</v>
      </c>
    </row>
    <row r="111" customFormat="false" ht="15" hidden="false" customHeight="true" outlineLevel="0" collapsed="false">
      <c r="A111" s="1" t="s">
        <v>118</v>
      </c>
      <c r="B111" s="1" t="str">
        <f aca="false">IF(LEFT(Table2[[#This Row],[Tab Name]],4)="&lt;SM&gt;","Static Model",IF(LEFT(Table2[[#This Row],[Tab Name]],4)="&lt;DM&gt;","Dynamic Model",IF(LEFT(Table2[[#This Row],[Tab Name]],4)="&lt;ST&gt;","Smart Table",IF(LEFT(Table2[[#This Row],[Tab Name]],4)="&lt;GT&gt;","Generic Table",""))))</f>
        <v>Dynamic Model</v>
      </c>
      <c r="C111" s="1" t="str">
        <f aca="false">CONCATENATE(MID(A111,5,1000)," details to be created in the system")</f>
        <v>WorkgroupStep details to be created in the system</v>
      </c>
      <c r="D111" s="7" t="n">
        <f aca="false">IF(LEFT(Table2[[#This Row],[Tab Name]],1)="&lt;",D110+1,D110)</f>
        <v>73</v>
      </c>
    </row>
    <row r="112" customFormat="false" ht="15" hidden="false" customHeight="true" outlineLevel="0" collapsed="false">
      <c r="A112" s="1" t="s">
        <v>119</v>
      </c>
      <c r="B112" s="1" t="str">
        <f aca="false">IF(LEFT(Table2[[#This Row],[Tab Name]],4)="&lt;SM&gt;","Static Model",IF(LEFT(Table2[[#This Row],[Tab Name]],4)="&lt;DM&gt;","Dynamic Model",IF(LEFT(Table2[[#This Row],[Tab Name]],4)="&lt;ST&gt;","Smart Table",IF(LEFT(Table2[[#This Row],[Tab Name]],4)="&lt;GT&gt;","Generic Table",""))))</f>
        <v/>
      </c>
      <c r="C112" s="1" t="str">
        <f aca="false">CONCATENATE(MID(A112,5,1000)," details to be created in the system")</f>
        <v>EmployeeShiftDetails details to be created in the system</v>
      </c>
      <c r="D112" s="7" t="n">
        <f aca="false">IF(LEFT(Table2[[#This Row],[Tab Name]],1)="&lt;",D111+1,D111)</f>
        <v>74</v>
      </c>
    </row>
    <row r="113" customFormat="false" ht="15" hidden="false" customHeight="true" outlineLevel="0" collapsed="false">
      <c r="A113" s="1" t="s">
        <v>120</v>
      </c>
      <c r="B113" s="1" t="str">
        <f aca="false">IF(LEFT(Table2[[#This Row],[Tab Name]],4)="&lt;SM&gt;","Static Model",IF(LEFT(Table2[[#This Row],[Tab Name]],4)="&lt;DM&gt;","Dynamic Model",IF(LEFT(Table2[[#This Row],[Tab Name]],4)="&lt;ST&gt;","Smart Table",IF(LEFT(Table2[[#This Row],[Tab Name]],4)="&lt;GT&gt;","Generic Table",""))))</f>
        <v>Dynamic Model</v>
      </c>
      <c r="C113" s="1" t="str">
        <f aca="false">CONCATENATE(MID(A113,5,1000)," details to be created in the system")</f>
        <v>KPI details to be created in the system</v>
      </c>
      <c r="D113" s="7" t="n">
        <f aca="false">IF(LEFT(Table2[[#This Row],[Tab Name]],1)="&lt;",D112+1,D112)</f>
        <v>75</v>
      </c>
    </row>
    <row r="114" customFormat="false" ht="15" hidden="false" customHeight="true" outlineLevel="0" collapsed="false">
      <c r="A114" s="1" t="s">
        <v>121</v>
      </c>
      <c r="B114" s="1" t="str">
        <f aca="false">IF(LEFT(Table2[[#This Row],[Tab Name]],4)="&lt;SM&gt;","Static Model",IF(LEFT(Table2[[#This Row],[Tab Name]],4)="&lt;DM&gt;","Dynamic Model",IF(LEFT(Table2[[#This Row],[Tab Name]],4)="&lt;ST&gt;","Smart Table",IF(LEFT(Table2[[#This Row],[Tab Name]],4)="&lt;GT&gt;","Generic Table",""))))</f>
        <v>Dynamic Model</v>
      </c>
      <c r="C114" s="1" t="str">
        <f aca="false">CONCATENATE(MID(A114,5,1000)," details to be created in the system")</f>
        <v>KPITimeFrame details to be created in the system</v>
      </c>
      <c r="D114" s="7" t="n">
        <f aca="false">IF(LEFT(Table2[[#This Row],[Tab Name]],1)="&lt;",D113+1,D113)</f>
        <v>76</v>
      </c>
    </row>
    <row r="115" customFormat="false" ht="15" hidden="false" customHeight="true" outlineLevel="0" collapsed="false">
      <c r="A115" s="1" t="s">
        <v>122</v>
      </c>
      <c r="B115" s="1" t="str">
        <f aca="false">IF(LEFT(Table2[[#This Row],[Tab Name]],4)="&lt;SM&gt;","Static Model",IF(LEFT(Table2[[#This Row],[Tab Name]],4)="&lt;DM&gt;","Dynamic Model",IF(LEFT(Table2[[#This Row],[Tab Name]],4)="&lt;ST&gt;","Smart Table",IF(LEFT(Table2[[#This Row],[Tab Name]],4)="&lt;GT&gt;","Generic Table",""))))</f>
        <v>Dynamic Model</v>
      </c>
      <c r="C115" s="1" t="str">
        <f aca="false">CONCATENATE(MID(A115,5,1000)," details to be created in the system")</f>
        <v>DataCollection details to be created in the system</v>
      </c>
      <c r="D115" s="7" t="n">
        <f aca="false">IF(LEFT(Table2[[#This Row],[Tab Name]],1)="&lt;",D114+1,D114)</f>
        <v>77</v>
      </c>
    </row>
    <row r="116" customFormat="false" ht="15" hidden="false" customHeight="true" outlineLevel="0" collapsed="false">
      <c r="A116" s="1" t="s">
        <v>123</v>
      </c>
      <c r="B116" s="1" t="str">
        <f aca="false">IF(LEFT(Table2[[#This Row],[Tab Name]],4)="&lt;SM&gt;","Static Model",IF(LEFT(Table2[[#This Row],[Tab Name]],4)="&lt;DM&gt;","Dynamic Model",IF(LEFT(Table2[[#This Row],[Tab Name]],4)="&lt;ST&gt;","Smart Table",IF(LEFT(Table2[[#This Row],[Tab Name]],4)="&lt;GT&gt;","Generic Table",""))))</f>
        <v/>
      </c>
      <c r="C116" s="1" t="str">
        <f aca="false">CONCATENATE(MID(A116,5,1000)," details to be created in the system")</f>
        <v>CollectionParameters details to be created in the system</v>
      </c>
      <c r="D116" s="7" t="n">
        <f aca="false">IF(LEFT(Table2[[#This Row],[Tab Name]],1)="&lt;",D115+1,D115)</f>
        <v>77</v>
      </c>
    </row>
    <row r="117" customFormat="false" ht="15" hidden="false" customHeight="true" outlineLevel="0" collapsed="false">
      <c r="A117" s="1" t="s">
        <v>124</v>
      </c>
      <c r="B117" s="1" t="str">
        <f aca="false">IF(LEFT(Table2[[#This Row],[Tab Name]],4)="&lt;SM&gt;","Static Model",IF(LEFT(Table2[[#This Row],[Tab Name]],4)="&lt;DM&gt;","Dynamic Model",IF(LEFT(Table2[[#This Row],[Tab Name]],4)="&lt;ST&gt;","Smart Table",IF(LEFT(Table2[[#This Row],[Tab Name]],4)="&lt;GT&gt;","Generic Table",""))))</f>
        <v>Dynamic Model</v>
      </c>
      <c r="C117" s="1" t="str">
        <f aca="false">CONCATENATE(MID(A117,5,1000)," details to be created in the system")</f>
        <v>DataCollectionLimitSets details to be created in the system</v>
      </c>
      <c r="D117" s="7" t="n">
        <f aca="false">IF(LEFT(Table2[[#This Row],[Tab Name]],1)="&lt;",D116+1,D116)</f>
        <v>78</v>
      </c>
    </row>
    <row r="118" customFormat="false" ht="15" hidden="false" customHeight="true" outlineLevel="0" collapsed="false">
      <c r="A118" s="1" t="s">
        <v>125</v>
      </c>
      <c r="B118" s="1" t="str">
        <f aca="false">IF(LEFT(Table2[[#This Row],[Tab Name]],4)="&lt;SM&gt;","Static Model",IF(LEFT(Table2[[#This Row],[Tab Name]],4)="&lt;DM&gt;","Dynamic Model",IF(LEFT(Table2[[#This Row],[Tab Name]],4)="&lt;ST&gt;","Smart Table",IF(LEFT(Table2[[#This Row],[Tab Name]],4)="&lt;GT&gt;","Generic Table",""))))</f>
        <v/>
      </c>
      <c r="C118" s="1" t="str">
        <f aca="false">CONCATENATE(MID(A118,5,1000)," details to be created in the system")</f>
        <v>CollectionSampleLimits details to be created in the system</v>
      </c>
      <c r="D118" s="7" t="n">
        <f aca="false">IF(LEFT(Table2[[#This Row],[Tab Name]],1)="&lt;",D117+1,D117)</f>
        <v>78</v>
      </c>
    </row>
    <row r="119" customFormat="false" ht="15" hidden="false" customHeight="true" outlineLevel="0" collapsed="false">
      <c r="A119" s="1" t="s">
        <v>126</v>
      </c>
      <c r="B119" s="1" t="str">
        <f aca="false">IF(LEFT(Table2[[#This Row],[Tab Name]],4)="&lt;SM&gt;","Static Model",IF(LEFT(Table2[[#This Row],[Tab Name]],4)="&lt;DM&gt;","Dynamic Model",IF(LEFT(Table2[[#This Row],[Tab Name]],4)="&lt;ST&gt;","Smart Table",IF(LEFT(Table2[[#This Row],[Tab Name]],4)="&lt;GT&gt;","Generic Table",""))))</f>
        <v>Generic Table</v>
      </c>
      <c r="C119" s="1" t="str">
        <f aca="false">CONCATENATE(MID(A119,5,1000)," details to be created in the system")</f>
        <v>ChartRuleScope details to be created in the system</v>
      </c>
      <c r="D119" s="7" t="n">
        <f aca="false">IF(LEFT(Table2[[#This Row],[Tab Name]],1)="&lt;",D118+1,D118)</f>
        <v>79</v>
      </c>
    </row>
    <row r="120" customFormat="false" ht="15" hidden="false" customHeight="true" outlineLevel="0" collapsed="false">
      <c r="A120" s="1" t="s">
        <v>127</v>
      </c>
      <c r="B120" s="1" t="str">
        <f aca="false">IF(LEFT(Table2[[#This Row],[Tab Name]],4)="&lt;SM&gt;","Static Model",IF(LEFT(Table2[[#This Row],[Tab Name]],4)="&lt;DM&gt;","Dynamic Model",IF(LEFT(Table2[[#This Row],[Tab Name]],4)="&lt;ST&gt;","Smart Table",IF(LEFT(Table2[[#This Row],[Tab Name]],4)="&lt;GT&gt;","Generic Table",""))))</f>
        <v>Dynamic Model</v>
      </c>
      <c r="C120" s="1" t="str">
        <f aca="false">CONCATENATE(MID(A120,5,1000)," details to be created in the system")</f>
        <v>Chart details to be created in the system</v>
      </c>
      <c r="D120" s="7" t="n">
        <f aca="false">IF(LEFT(Table2[[#This Row],[Tab Name]],1)="&lt;",D119+1,D119)</f>
        <v>80</v>
      </c>
    </row>
    <row r="121" customFormat="false" ht="15" hidden="false" customHeight="true" outlineLevel="0" collapsed="false">
      <c r="A121" s="1" t="s">
        <v>128</v>
      </c>
      <c r="B121" s="1" t="str">
        <f aca="false">IF(LEFT(Table2[[#This Row],[Tab Name]],4)="&lt;SM&gt;","Static Model",IF(LEFT(Table2[[#This Row],[Tab Name]],4)="&lt;DM&gt;","Dynamic Model",IF(LEFT(Table2[[#This Row],[Tab Name]],4)="&lt;ST&gt;","Smart Table",IF(LEFT(Table2[[#This Row],[Tab Name]],4)="&lt;GT&gt;","Generic Table",""))))</f>
        <v>Dynamic Model</v>
      </c>
      <c r="C121" s="1" t="str">
        <f aca="false">CONCATENATE(MID(A121,5,1000)," details to be created in the system")</f>
        <v>LogicalChart details to be created in the system</v>
      </c>
      <c r="D121" s="7" t="n">
        <f aca="false">IF(LEFT(Table2[[#This Row],[Tab Name]],1)="&lt;",D120+1,D120)</f>
        <v>81</v>
      </c>
    </row>
    <row r="122" customFormat="false" ht="15" hidden="false" customHeight="true" outlineLevel="0" collapsed="false">
      <c r="A122" s="1" t="s">
        <v>129</v>
      </c>
      <c r="B122" s="1" t="str">
        <f aca="false">IF(LEFT(Table2[[#This Row],[Tab Name]],4)="&lt;SM&gt;","Static Model",IF(LEFT(Table2[[#This Row],[Tab Name]],4)="&lt;DM&gt;","Dynamic Model",IF(LEFT(Table2[[#This Row],[Tab Name]],4)="&lt;ST&gt;","Smart Table",IF(LEFT(Table2[[#This Row],[Tab Name]],4)="&lt;GT&gt;","Generic Table",""))))</f>
        <v>Dynamic Model</v>
      </c>
      <c r="C122" s="1" t="str">
        <f aca="false">CONCATENATE(MID(A122,5,1000)," details to be created in the system")</f>
        <v>BOM details to be created in the system</v>
      </c>
      <c r="D122" s="7" t="n">
        <f aca="false">IF(LEFT(Table2[[#This Row],[Tab Name]],1)="&lt;",D121+1,D121)</f>
        <v>82</v>
      </c>
    </row>
    <row r="123" customFormat="false" ht="15" hidden="false" customHeight="true" outlineLevel="0" collapsed="false">
      <c r="A123" s="1" t="s">
        <v>130</v>
      </c>
      <c r="B123" s="1" t="str">
        <f aca="false">IF(LEFT(Table2[[#This Row],[Tab Name]],4)="&lt;SM&gt;","Static Model",IF(LEFT(Table2[[#This Row],[Tab Name]],4)="&lt;DM&gt;","Dynamic Model",IF(LEFT(Table2[[#This Row],[Tab Name]],4)="&lt;ST&gt;","Smart Table",IF(LEFT(Table2[[#This Row],[Tab Name]],4)="&lt;GT&gt;","Generic Table",""))))</f>
        <v/>
      </c>
      <c r="C123" s="1" t="str">
        <f aca="false">CONCATENATE(MID(A123,5,1000)," details to be created in the system")</f>
        <v>roducts details to be created in the system</v>
      </c>
      <c r="D123" s="7" t="n">
        <f aca="false">IF(LEFT(Table2[[#This Row],[Tab Name]],1)="&lt;",D122+1,D122)</f>
        <v>82</v>
      </c>
    </row>
    <row r="124" customFormat="false" ht="15" hidden="false" customHeight="true" outlineLevel="0" collapsed="false">
      <c r="A124" s="1" t="s">
        <v>131</v>
      </c>
      <c r="B124" s="1" t="str">
        <f aca="false">IF(LEFT(Table2[[#This Row],[Tab Name]],4)="&lt;SM&gt;","Static Model",IF(LEFT(Table2[[#This Row],[Tab Name]],4)="&lt;DM&gt;","Dynamic Model",IF(LEFT(Table2[[#This Row],[Tab Name]],4)="&lt;ST&gt;","Smart Table",IF(LEFT(Table2[[#This Row],[Tab Name]],4)="&lt;GT&gt;","Generic Table",""))))</f>
        <v>Dynamic Model</v>
      </c>
      <c r="C124" s="1" t="str">
        <f aca="false">CONCATENATE(MID(A124,5,1000)," details to be created in the system")</f>
        <v>Checklist details to be created in the system</v>
      </c>
      <c r="D124" s="7" t="n">
        <f aca="false">IF(LEFT(Table2[[#This Row],[Tab Name]],1)="&lt;",D123+1,D123)</f>
        <v>83</v>
      </c>
    </row>
    <row r="125" customFormat="false" ht="15" hidden="false" customHeight="true" outlineLevel="0" collapsed="false">
      <c r="A125" s="1" t="s">
        <v>132</v>
      </c>
      <c r="B125" s="1" t="str">
        <f aca="false">IF(LEFT(Table2[[#This Row],[Tab Name]],4)="&lt;SM&gt;","Static Model",IF(LEFT(Table2[[#This Row],[Tab Name]],4)="&lt;DM&gt;","Dynamic Model",IF(LEFT(Table2[[#This Row],[Tab Name]],4)="&lt;ST&gt;","Smart Table",IF(LEFT(Table2[[#This Row],[Tab Name]],4)="&lt;GT&gt;","Generic Table",""))))</f>
        <v/>
      </c>
      <c r="C125" s="1" t="str">
        <f aca="false">CONCATENATE(MID(A125,5,1000)," details to be created in the system")</f>
        <v>klistItems details to be created in the system</v>
      </c>
      <c r="D125" s="7" t="n">
        <f aca="false">IF(LEFT(Table2[[#This Row],[Tab Name]],1)="&lt;",D124+1,D124)</f>
        <v>83</v>
      </c>
    </row>
    <row r="126" customFormat="false" ht="15" hidden="false" customHeight="true" outlineLevel="0" collapsed="false">
      <c r="A126" s="1" t="s">
        <v>133</v>
      </c>
      <c r="B126" s="1" t="str">
        <f aca="false">IF(LEFT(Table2[[#This Row],[Tab Name]],4)="&lt;SM&gt;","Static Model",IF(LEFT(Table2[[#This Row],[Tab Name]],4)="&lt;DM&gt;","Dynamic Model",IF(LEFT(Table2[[#This Row],[Tab Name]],4)="&lt;ST&gt;","Smart Table",IF(LEFT(Table2[[#This Row],[Tab Name]],4)="&lt;GT&gt;","Generic Table",""))))</f>
        <v/>
      </c>
      <c r="C126" s="1" t="str">
        <f aca="false">CONCATENATE(MID(A126,5,1000)," details to be created in the system")</f>
        <v>klistItemParameters details to be created in the system</v>
      </c>
      <c r="D126" s="7" t="n">
        <f aca="false">IF(LEFT(Table2[[#This Row],[Tab Name]],1)="&lt;",D125+1,D125)</f>
        <v>83</v>
      </c>
    </row>
    <row r="127" customFormat="false" ht="15" hidden="false" customHeight="true" outlineLevel="0" collapsed="false">
      <c r="A127" s="1" t="s">
        <v>134</v>
      </c>
      <c r="B127" s="1" t="str">
        <f aca="false">IF(LEFT(Table2[[#This Row],[Tab Name]],4)="&lt;SM&gt;","Static Model",IF(LEFT(Table2[[#This Row],[Tab Name]],4)="&lt;DM&gt;","Dynamic Model",IF(LEFT(Table2[[#This Row],[Tab Name]],4)="&lt;ST&gt;","Smart Table",IF(LEFT(Table2[[#This Row],[Tab Name]],4)="&lt;GT&gt;","Generic Table",""))))</f>
        <v/>
      </c>
      <c r="C127" s="1" t="str">
        <f aca="false">CONCATENATE(MID(A127,5,1000)," details to be created in the system")</f>
        <v>klistItemDataColParameters details to be created in the system</v>
      </c>
      <c r="D127" s="7" t="n">
        <f aca="false">IF(LEFT(Table2[[#This Row],[Tab Name]],1)="&lt;",D126+1,D126)</f>
        <v>83</v>
      </c>
    </row>
    <row r="128" customFormat="false" ht="15" hidden="false" customHeight="true" outlineLevel="0" collapsed="false">
      <c r="A128" s="1" t="s">
        <v>135</v>
      </c>
      <c r="B128" s="1" t="str">
        <f aca="false">IF(LEFT(Table2[[#This Row],[Tab Name]],4)="&lt;SM&gt;","Static Model",IF(LEFT(Table2[[#This Row],[Tab Name]],4)="&lt;DM&gt;","Dynamic Model",IF(LEFT(Table2[[#This Row],[Tab Name]],4)="&lt;ST&gt;","Smart Table",IF(LEFT(Table2[[#This Row],[Tab Name]],4)="&lt;GT&gt;","Generic Table",""))))</f>
        <v/>
      </c>
      <c r="C128" s="1" t="str">
        <f aca="false">CONCATENATE(MID(A128,5,1000)," details to be created in the system")</f>
        <v>klistItemSignature details to be created in the system</v>
      </c>
      <c r="D128" s="7" t="n">
        <f aca="false">IF(LEFT(Table2[[#This Row],[Tab Name]],1)="&lt;",D127+1,D127)</f>
        <v>83</v>
      </c>
    </row>
    <row r="129" customFormat="false" ht="15" hidden="false" customHeight="true" outlineLevel="0" collapsed="false">
      <c r="A129" s="1" t="s">
        <v>136</v>
      </c>
      <c r="B129" s="1" t="str">
        <f aca="false">IF(LEFT(Table2[[#This Row],[Tab Name]],4)="&lt;SM&gt;","Static Model",IF(LEFT(Table2[[#This Row],[Tab Name]],4)="&lt;DM&gt;","Dynamic Model",IF(LEFT(Table2[[#This Row],[Tab Name]],4)="&lt;ST&gt;","Smart Table",IF(LEFT(Table2[[#This Row],[Tab Name]],4)="&lt;GT&gt;","Generic Table",""))))</f>
        <v>Dynamic Model</v>
      </c>
      <c r="C129" s="1" t="str">
        <f aca="false">CONCATENATE(MID(A129,5,1000)," details to be created in the system")</f>
        <v>Protocol details to be created in the system</v>
      </c>
      <c r="D129" s="7" t="n">
        <f aca="false">IF(LEFT(Table2[[#This Row],[Tab Name]],1)="&lt;",D128+1,D128)</f>
        <v>84</v>
      </c>
    </row>
    <row r="130" customFormat="false" ht="15" hidden="false" customHeight="true" outlineLevel="0" collapsed="false">
      <c r="A130" s="1" t="s">
        <v>137</v>
      </c>
      <c r="B130" s="1" t="str">
        <f aca="false">IF(LEFT(Table2[[#This Row],[Tab Name]],4)="&lt;SM&gt;","Static Model",IF(LEFT(Table2[[#This Row],[Tab Name]],4)="&lt;DM&gt;","Dynamic Model",IF(LEFT(Table2[[#This Row],[Tab Name]],4)="&lt;ST&gt;","Smart Table",IF(LEFT(Table2[[#This Row],[Tab Name]],4)="&lt;GT&gt;","Generic Table",""))))</f>
        <v/>
      </c>
      <c r="C130" s="1" t="str">
        <f aca="false">CONCATENATE(MID(A130,5,1000)," details to be created in the system")</f>
        <v>ocolStates details to be created in the system</v>
      </c>
      <c r="D130" s="7" t="n">
        <f aca="false">IF(LEFT(Table2[[#This Row],[Tab Name]],1)="&lt;",D129+1,D129)</f>
        <v>84</v>
      </c>
    </row>
    <row r="131" customFormat="false" ht="15" hidden="false" customHeight="true" outlineLevel="0" collapsed="false">
      <c r="A131" s="1" t="s">
        <v>138</v>
      </c>
      <c r="B131" s="1" t="str">
        <f aca="false">IF(LEFT(Table2[[#This Row],[Tab Name]],4)="&lt;SM&gt;","Static Model",IF(LEFT(Table2[[#This Row],[Tab Name]],4)="&lt;DM&gt;","Dynamic Model",IF(LEFT(Table2[[#This Row],[Tab Name]],4)="&lt;ST&gt;","Smart Table",IF(LEFT(Table2[[#This Row],[Tab Name]],4)="&lt;GT&gt;","Generic Table",""))))</f>
        <v>Dynamic Model</v>
      </c>
      <c r="C131" s="1" t="str">
        <f aca="false">CONCATENATE(MID(A131,5,1000)," details to be created in the system")</f>
        <v>InspectionPlan details to be created in the system</v>
      </c>
      <c r="D131" s="7" t="n">
        <f aca="false">IF(LEFT(Table2[[#This Row],[Tab Name]],1)="&lt;",D130+1,D130)</f>
        <v>85</v>
      </c>
    </row>
    <row r="132" customFormat="false" ht="15" hidden="false" customHeight="true" outlineLevel="0" collapsed="false">
      <c r="A132" s="1" t="s">
        <v>139</v>
      </c>
      <c r="B132" s="1" t="str">
        <f aca="false">IF(LEFT(Table2[[#This Row],[Tab Name]],4)="&lt;SM&gt;","Static Model",IF(LEFT(Table2[[#This Row],[Tab Name]],4)="&lt;DM&gt;","Dynamic Model",IF(LEFT(Table2[[#This Row],[Tab Name]],4)="&lt;ST&gt;","Smart Table",IF(LEFT(Table2[[#This Row],[Tab Name]],4)="&lt;GT&gt;","Generic Table",""))))</f>
        <v/>
      </c>
      <c r="C132" s="1" t="str">
        <f aca="false">CONCATENATE(MID(A132,5,1000)," details to be created in the system")</f>
        <v>ectionPlanSteps details to be created in the system</v>
      </c>
      <c r="D132" s="7" t="n">
        <f aca="false">IF(LEFT(Table2[[#This Row],[Tab Name]],1)="&lt;",D131+1,D131)</f>
        <v>85</v>
      </c>
    </row>
    <row r="133" customFormat="false" ht="15" hidden="false" customHeight="true" outlineLevel="0" collapsed="false">
      <c r="A133" s="1" t="s">
        <v>140</v>
      </c>
      <c r="B133" s="1" t="str">
        <f aca="false">IF(LEFT(Table2[[#This Row],[Tab Name]],4)="&lt;SM&gt;","Static Model",IF(LEFT(Table2[[#This Row],[Tab Name]],4)="&lt;DM&gt;","Dynamic Model",IF(LEFT(Table2[[#This Row],[Tab Name]],4)="&lt;ST&gt;","Smart Table",IF(LEFT(Table2[[#This Row],[Tab Name]],4)="&lt;GT&gt;","Generic Table",""))))</f>
        <v/>
      </c>
      <c r="C133" s="1" t="str">
        <f aca="false">CONCATENATE(MID(A133,5,1000)," details to be created in the system")</f>
        <v>ectionPlanConfiguration details to be created in the system</v>
      </c>
      <c r="D133" s="7" t="n">
        <f aca="false">IF(LEFT(Table2[[#This Row],[Tab Name]],1)="&lt;",D132+1,D132)</f>
        <v>85</v>
      </c>
    </row>
    <row r="134" customFormat="false" ht="15" hidden="false" customHeight="true" outlineLevel="0" collapsed="false">
      <c r="A134" s="1" t="s">
        <v>141</v>
      </c>
      <c r="B134" s="1" t="str">
        <f aca="false">IF(LEFT(Table2[[#This Row],[Tab Name]],4)="&lt;SM&gt;","Static Model",IF(LEFT(Table2[[#This Row],[Tab Name]],4)="&lt;DM&gt;","Dynamic Model",IF(LEFT(Table2[[#This Row],[Tab Name]],4)="&lt;ST&gt;","Smart Table",IF(LEFT(Table2[[#This Row],[Tab Name]],4)="&lt;GT&gt;","Generic Table",""))))</f>
        <v/>
      </c>
      <c r="C134" s="1" t="str">
        <f aca="false">CONCATENATE(MID(A134,5,1000)," details to be created in the system")</f>
        <v>ectionPlanConfigurationStep details to be created in the system</v>
      </c>
      <c r="D134" s="7" t="n">
        <f aca="false">IF(LEFT(Table2[[#This Row],[Tab Name]],1)="&lt;",D133+1,D133)</f>
        <v>85</v>
      </c>
    </row>
    <row r="135" customFormat="false" ht="15" hidden="false" customHeight="true" outlineLevel="0" collapsed="false">
      <c r="A135" s="1" t="s">
        <v>142</v>
      </c>
      <c r="B135" s="1" t="str">
        <f aca="false">IF(LEFT(Table2[[#This Row],[Tab Name]],4)="&lt;SM&gt;","Static Model",IF(LEFT(Table2[[#This Row],[Tab Name]],4)="&lt;DM&gt;","Dynamic Model",IF(LEFT(Table2[[#This Row],[Tab Name]],4)="&lt;ST&gt;","Smart Table",IF(LEFT(Table2[[#This Row],[Tab Name]],4)="&lt;GT&gt;","Generic Table",""))))</f>
        <v>Dynamic Model</v>
      </c>
      <c r="C135" s="1" t="str">
        <f aca="false">CONCATENATE(MID(A135,5,1000)," details to be created in the system")</f>
        <v>Recipe details to be created in the system</v>
      </c>
      <c r="D135" s="7" t="n">
        <f aca="false">IF(LEFT(Table2[[#This Row],[Tab Name]],1)="&lt;",D134+1,D134)</f>
        <v>86</v>
      </c>
    </row>
    <row r="136" customFormat="false" ht="15" hidden="false" customHeight="true" outlineLevel="0" collapsed="false">
      <c r="A136" s="1" t="s">
        <v>143</v>
      </c>
      <c r="B136" s="1" t="str">
        <f aca="false">IF(LEFT(Table2[[#This Row],[Tab Name]],4)="&lt;SM&gt;","Static Model",IF(LEFT(Table2[[#This Row],[Tab Name]],4)="&lt;DM&gt;","Dynamic Model",IF(LEFT(Table2[[#This Row],[Tab Name]],4)="&lt;ST&gt;","Smart Table",IF(LEFT(Table2[[#This Row],[Tab Name]],4)="&lt;GT&gt;","Generic Table",""))))</f>
        <v/>
      </c>
      <c r="C136" s="1" t="str">
        <f aca="false">CONCATENATE(MID(A136,5,1000)," details to be created in the system")</f>
        <v>peParameters details to be created in the system</v>
      </c>
      <c r="D136" s="7" t="n">
        <f aca="false">IF(LEFT(Table2[[#This Row],[Tab Name]],1)="&lt;",D135+1,D135)</f>
        <v>86</v>
      </c>
    </row>
    <row r="137" customFormat="false" ht="15" hidden="false" customHeight="true" outlineLevel="0" collapsed="false">
      <c r="A137" s="1" t="s">
        <v>144</v>
      </c>
      <c r="B137" s="1" t="str">
        <f aca="false">IF(LEFT(Table2[[#This Row],[Tab Name]],4)="&lt;SM&gt;","Static Model",IF(LEFT(Table2[[#This Row],[Tab Name]],4)="&lt;DM&gt;","Dynamic Model",IF(LEFT(Table2[[#This Row],[Tab Name]],4)="&lt;ST&gt;","Smart Table",IF(LEFT(Table2[[#This Row],[Tab Name]],4)="&lt;GT&gt;","Generic Table",""))))</f>
        <v/>
      </c>
      <c r="C137" s="1" t="str">
        <f aca="false">CONCATENATE(MID(A137,5,1000)," details to be created in the system")</f>
        <v>ecipes details to be created in the system</v>
      </c>
      <c r="D137" s="7" t="n">
        <f aca="false">IF(LEFT(Table2[[#This Row],[Tab Name]],1)="&lt;",D136+1,D136)</f>
        <v>86</v>
      </c>
    </row>
    <row r="138" customFormat="false" ht="15" hidden="false" customHeight="true" outlineLevel="0" collapsed="false">
      <c r="A138" s="1" t="s">
        <v>145</v>
      </c>
      <c r="B138" s="1" t="str">
        <f aca="false">IF(LEFT(Table2[[#This Row],[Tab Name]],4)="&lt;SM&gt;","Static Model",IF(LEFT(Table2[[#This Row],[Tab Name]],4)="&lt;DM&gt;","Dynamic Model",IF(LEFT(Table2[[#This Row],[Tab Name]],4)="&lt;ST&gt;","Smart Table",IF(LEFT(Table2[[#This Row],[Tab Name]],4)="&lt;GT&gt;","Generic Table",""))))</f>
        <v/>
      </c>
      <c r="C138" s="1" t="str">
        <f aca="false">CONCATENATE(MID(A138,5,1000)," details to be created in the system")</f>
        <v>ecipeParameters details to be created in the system</v>
      </c>
      <c r="D138" s="7" t="n">
        <f aca="false">IF(LEFT(Table2[[#This Row],[Tab Name]],1)="&lt;",D137+1,D137)</f>
        <v>86</v>
      </c>
    </row>
    <row r="139" customFormat="false" ht="15" hidden="false" customHeight="true" outlineLevel="0" collapsed="false">
      <c r="A139" s="1" t="s">
        <v>146</v>
      </c>
      <c r="B139" s="1" t="str">
        <f aca="false">IF(LEFT(Table2[[#This Row],[Tab Name]],4)="&lt;SM&gt;","Static Model",IF(LEFT(Table2[[#This Row],[Tab Name]],4)="&lt;DM&gt;","Dynamic Model",IF(LEFT(Table2[[#This Row],[Tab Name]],4)="&lt;ST&gt;","Smart Table",IF(LEFT(Table2[[#This Row],[Tab Name]],4)="&lt;GT&gt;","Generic Table",""))))</f>
        <v>Dynamic Model</v>
      </c>
      <c r="C139" s="1" t="str">
        <f aca="false">CONCATENATE(MID(A139,5,1000)," details to be created in the system")</f>
        <v>MaintenancePlan details to be created in the system</v>
      </c>
      <c r="D139" s="7" t="n">
        <f aca="false">IF(LEFT(Table2[[#This Row],[Tab Name]],1)="&lt;",D138+1,D138)</f>
        <v>87</v>
      </c>
    </row>
    <row r="140" customFormat="false" ht="15" hidden="false" customHeight="true" outlineLevel="0" collapsed="false">
      <c r="A140" s="1" t="s">
        <v>147</v>
      </c>
      <c r="B140" s="1" t="str">
        <f aca="false">IF(LEFT(Table2[[#This Row],[Tab Name]],4)="&lt;SM&gt;","Static Model",IF(LEFT(Table2[[#This Row],[Tab Name]],4)="&lt;DM&gt;","Dynamic Model",IF(LEFT(Table2[[#This Row],[Tab Name]],4)="&lt;ST&gt;","Smart Table",IF(LEFT(Table2[[#This Row],[Tab Name]],4)="&lt;GT&gt;","Generic Table",""))))</f>
        <v/>
      </c>
      <c r="C140" s="1" t="str">
        <f aca="false">CONCATENATE(MID(A140,5,1000)," details to be created in the system")</f>
        <v>tenancePlanActivities details to be created in the system</v>
      </c>
      <c r="D140" s="7" t="n">
        <f aca="false">IF(LEFT(Table2[[#This Row],[Tab Name]],1)="&lt;",D139+1,D139)</f>
        <v>87</v>
      </c>
    </row>
    <row r="141" customFormat="false" ht="15" hidden="false" customHeight="true" outlineLevel="0" collapsed="false">
      <c r="A141" s="1" t="s">
        <v>148</v>
      </c>
      <c r="B141" s="1" t="str">
        <f aca="false">IF(LEFT(Table2[[#This Row],[Tab Name]],4)="&lt;SM&gt;","Static Model",IF(LEFT(Table2[[#This Row],[Tab Name]],4)="&lt;DM&gt;","Dynamic Model",IF(LEFT(Table2[[#This Row],[Tab Name]],4)="&lt;ST&gt;","Smart Table",IF(LEFT(Table2[[#This Row],[Tab Name]],4)="&lt;GT&gt;","Generic Table",""))))</f>
        <v/>
      </c>
      <c r="C141" s="1" t="str">
        <f aca="false">CONCATENATE(MID(A141,5,1000)," details to be created in the system")</f>
        <v>tenancePlanActivityCharts details to be created in the system</v>
      </c>
      <c r="D141" s="7" t="n">
        <f aca="false">IF(LEFT(Table2[[#This Row],[Tab Name]],1)="&lt;",D140+1,D140)</f>
        <v>87</v>
      </c>
    </row>
    <row r="142" customFormat="false" ht="15" hidden="false" customHeight="true" outlineLevel="0" collapsed="false">
      <c r="A142" s="1" t="s">
        <v>149</v>
      </c>
      <c r="B142" s="1" t="str">
        <f aca="false">IF(LEFT(Table2[[#This Row],[Tab Name]],4)="&lt;SM&gt;","Static Model",IF(LEFT(Table2[[#This Row],[Tab Name]],4)="&lt;DM&gt;","Dynamic Model",IF(LEFT(Table2[[#This Row],[Tab Name]],4)="&lt;ST&gt;","Smart Table",IF(LEFT(Table2[[#This Row],[Tab Name]],4)="&lt;GT&gt;","Generic Table",""))))</f>
        <v/>
      </c>
      <c r="C142" s="1" t="str">
        <f aca="false">CONCATENATE(MID(A142,5,1000)," details to be created in the system")</f>
        <v>tenanceActivityDocument details to be created in the system</v>
      </c>
      <c r="D142" s="7" t="n">
        <f aca="false">IF(LEFT(Table2[[#This Row],[Tab Name]],1)="&lt;",D141+1,D141)</f>
        <v>87</v>
      </c>
    </row>
    <row r="143" customFormat="false" ht="15" hidden="false" customHeight="true" outlineLevel="0" collapsed="false">
      <c r="A143" s="1" t="s">
        <v>150</v>
      </c>
      <c r="B143" s="1" t="str">
        <f aca="false">IF(LEFT(Table2[[#This Row],[Tab Name]],4)="&lt;SM&gt;","Static Model",IF(LEFT(Table2[[#This Row],[Tab Name]],4)="&lt;DM&gt;","Dynamic Model",IF(LEFT(Table2[[#This Row],[Tab Name]],4)="&lt;ST&gt;","Smart Table",IF(LEFT(Table2[[#This Row],[Tab Name]],4)="&lt;GT&gt;","Generic Table",""))))</f>
        <v/>
      </c>
      <c r="C143" s="1" t="str">
        <f aca="false">CONCATENATE(MID(A143,5,1000)," details to be created in the system")</f>
        <v>udedActivities details to be created in the system</v>
      </c>
      <c r="D143" s="7" t="n">
        <f aca="false">IF(LEFT(Table2[[#This Row],[Tab Name]],1)="&lt;",D142+1,D142)</f>
        <v>87</v>
      </c>
    </row>
    <row r="144" customFormat="false" ht="15" hidden="false" customHeight="true" outlineLevel="0" collapsed="false">
      <c r="A144" s="1" t="s">
        <v>151</v>
      </c>
      <c r="B144" s="1" t="str">
        <f aca="false">IF(LEFT(Table2[[#This Row],[Tab Name]],4)="&lt;SM&gt;","Static Model",IF(LEFT(Table2[[#This Row],[Tab Name]],4)="&lt;DM&gt;","Dynamic Model",IF(LEFT(Table2[[#This Row],[Tab Name]],4)="&lt;ST&gt;","Smart Table",IF(LEFT(Table2[[#This Row],[Tab Name]],4)="&lt;GT&gt;","Generic Table",""))))</f>
        <v>Dynamic Model</v>
      </c>
      <c r="C144" s="1" t="str">
        <f aca="false">CONCATENATE(MID(A144,5,1000)," details to be created in the system")</f>
        <v>MaintenanceActivityPersonnelRequirement details to be created in the system</v>
      </c>
      <c r="D144" s="7" t="n">
        <f aca="false">IF(LEFT(Table2[[#This Row],[Tab Name]],1)="&lt;",D143+1,D143)</f>
        <v>88</v>
      </c>
    </row>
    <row r="145" customFormat="false" ht="15" hidden="false" customHeight="true" outlineLevel="0" collapsed="false">
      <c r="A145" s="1" t="s">
        <v>152</v>
      </c>
      <c r="B145" s="1" t="str">
        <f aca="false">IF(LEFT(Table2[[#This Row],[Tab Name]],4)="&lt;SM&gt;","Static Model",IF(LEFT(Table2[[#This Row],[Tab Name]],4)="&lt;DM&gt;","Dynamic Model",IF(LEFT(Table2[[#This Row],[Tab Name]],4)="&lt;ST&gt;","Smart Table",IF(LEFT(Table2[[#This Row],[Tab Name]],4)="&lt;GT&gt;","Generic Table",""))))</f>
        <v>Dynamic Model</v>
      </c>
      <c r="C145" s="1" t="str">
        <f aca="false">CONCATENATE(MID(A145,5,1000)," details to be created in the system")</f>
        <v>MaintenancePlanInstance details to be created in the system</v>
      </c>
      <c r="D145" s="7" t="n">
        <f aca="false">IF(LEFT(Table2[[#This Row],[Tab Name]],1)="&lt;",D144+1,D144)</f>
        <v>89</v>
      </c>
    </row>
    <row r="146" customFormat="false" ht="15" hidden="false" customHeight="true" outlineLevel="0" collapsed="false">
      <c r="A146" s="1" t="s">
        <v>153</v>
      </c>
      <c r="B146" s="1" t="str">
        <f aca="false">IF(LEFT(Table2[[#This Row],[Tab Name]],4)="&lt;SM&gt;","Static Model",IF(LEFT(Table2[[#This Row],[Tab Name]],4)="&lt;DM&gt;","Dynamic Model",IF(LEFT(Table2[[#This Row],[Tab Name]],4)="&lt;ST&gt;","Smart Table",IF(LEFT(Table2[[#This Row],[Tab Name]],4)="&lt;GT&gt;","Generic Table",""))))</f>
        <v/>
      </c>
      <c r="C146" s="1" t="str">
        <f aca="false">CONCATENATE(MID(A146,5,1000)," details to be created in the system")</f>
        <v>tenancePlanInstanceActivity details to be created in the system</v>
      </c>
      <c r="D146" s="7" t="n">
        <f aca="false">IF(LEFT(Table2[[#This Row],[Tab Name]],1)="&lt;",D145+1,D145)</f>
        <v>89</v>
      </c>
    </row>
    <row r="147" customFormat="false" ht="15" hidden="false" customHeight="true" outlineLevel="0" collapsed="false">
      <c r="A147" s="1" t="s">
        <v>154</v>
      </c>
      <c r="B147" s="1" t="str">
        <f aca="false">IF(LEFT(Table2[[#This Row],[Tab Name]],4)="&lt;SM&gt;","Static Model",IF(LEFT(Table2[[#This Row],[Tab Name]],4)="&lt;DM&gt;","Dynamic Model",IF(LEFT(Table2[[#This Row],[Tab Name]],4)="&lt;ST&gt;","Smart Table",IF(LEFT(Table2[[#This Row],[Tab Name]],4)="&lt;GT&gt;","Generic Table",""))))</f>
        <v/>
      </c>
      <c r="C147" s="1" t="str">
        <f aca="false">CONCATENATE(MID(A147,5,1000)," details to be created in the system")</f>
        <v>MaintenancePlanCounters details to be created in the system</v>
      </c>
      <c r="D147" s="7" t="n">
        <f aca="false">IF(LEFT(Table2[[#This Row],[Tab Name]],1)="&lt;",D146+1,D146)</f>
        <v>90</v>
      </c>
    </row>
    <row r="148" customFormat="false" ht="30" hidden="false" customHeight="true" outlineLevel="0" collapsed="false">
      <c r="A148" s="1" t="s">
        <v>155</v>
      </c>
      <c r="B148" s="1" t="str">
        <f aca="false">IF(LEFT(Table2[[#This Row],[Tab Name]],4)="&lt;SM&gt;","Static Model",IF(LEFT(Table2[[#This Row],[Tab Name]],4)="&lt;DM&gt;","Dynamic Model",IF(LEFT(Table2[[#This Row],[Tab Name]],4)="&lt;ST&gt;","Smart Table",IF(LEFT(Table2[[#This Row],[Tab Name]],4)="&lt;GT&gt;","Generic Table",""))))</f>
        <v>Generic Table</v>
      </c>
      <c r="C148" s="1" t="str">
        <f aca="false">CONCATENATE(MID(A148,5,1000)," details to be created in the system")</f>
        <v>GenericTable details to be created in the system</v>
      </c>
      <c r="D148" s="7" t="n">
        <f aca="false">IF(LEFT(Table2[[#This Row],[Tab Name]],1)="&lt;",D147+1,D147)</f>
        <v>91</v>
      </c>
    </row>
    <row r="149" customFormat="false" ht="15" hidden="false" customHeight="false" outlineLevel="0" collapsed="false">
      <c r="A149" s="1" t="s">
        <v>156</v>
      </c>
      <c r="B149" s="1" t="str">
        <f aca="false">IF(LEFT(Table2[[#This Row],[Tab Name]],4)="&lt;SM&gt;","Static Model",IF(LEFT(Table2[[#This Row],[Tab Name]],4)="&lt;DM&gt;","Dynamic Model",IF(LEFT(Table2[[#This Row],[Tab Name]],4)="&lt;ST&gt;","Smart Table",IF(LEFT(Table2[[#This Row],[Tab Name]],4)="&lt;GT&gt;","Generic Table",""))))</f>
        <v/>
      </c>
      <c r="C149" s="1" t="str">
        <f aca="false">CONCATENATE(MID(A149,5,1000)," details to be created in the system")</f>
        <v>ricTableProperties details to be created in the system</v>
      </c>
      <c r="D149" s="7" t="n">
        <f aca="false">IF(LEFT(Table2[[#This Row],[Tab Name]],1)="&lt;",D148+1,D148)</f>
        <v>91</v>
      </c>
    </row>
    <row r="150" customFormat="false" ht="15" hidden="false" customHeight="false" outlineLevel="0" collapsed="false">
      <c r="A150" s="1" t="s">
        <v>157</v>
      </c>
      <c r="B150" s="1" t="str">
        <f aca="false">IF(LEFT(Table2[[#This Row],[Tab Name]],4)="&lt;SM&gt;","Static Model",IF(LEFT(Table2[[#This Row],[Tab Name]],4)="&lt;DM&gt;","Dynamic Model",IF(LEFT(Table2[[#This Row],[Tab Name]],4)="&lt;ST&gt;","Smart Table",IF(LEFT(Table2[[#This Row],[Tab Name]],4)="&lt;GT&gt;","Generic Table",""))))</f>
        <v>Generic Table</v>
      </c>
      <c r="C150" s="1" t="str">
        <f aca="false">CONCATENATE(MID(A150,5,1000)," details to be created in the system")</f>
        <v>GUIElementDefaultValue details to be created in the system</v>
      </c>
      <c r="D150" s="7" t="n">
        <f aca="false">IF(LEFT(Table2[[#This Row],[Tab Name]],1)="&lt;",D149+1,D149)</f>
        <v>92</v>
      </c>
    </row>
    <row r="151" customFormat="false" ht="15" hidden="false" customHeight="false" outlineLevel="0" collapsed="false">
      <c r="A151" s="1" t="s">
        <v>158</v>
      </c>
      <c r="B151" s="1" t="str">
        <f aca="false">IF(LEFT(Table2[[#This Row],[Tab Name]],4)="&lt;SM&gt;","Static Model",IF(LEFT(Table2[[#This Row],[Tab Name]],4)="&lt;DM&gt;","Dynamic Model",IF(LEFT(Table2[[#This Row],[Tab Name]],4)="&lt;ST&gt;","Smart Table",IF(LEFT(Table2[[#This Row],[Tab Name]],4)="&lt;GT&gt;","Generic Table",""))))</f>
        <v>Generic Table</v>
      </c>
      <c r="C151" s="1" t="str">
        <f aca="false">CONCATENATE(MID(A151,5,1000)," details to be created in the system")</f>
        <v>MaterialFormRelation details to be created in the system</v>
      </c>
      <c r="D151" s="7" t="n">
        <f aca="false">IF(LEFT(Table2[[#This Row],[Tab Name]],1)="&lt;",D150+1,D150)</f>
        <v>93</v>
      </c>
    </row>
    <row r="152" customFormat="false" ht="15" hidden="false" customHeight="false" outlineLevel="0" collapsed="false">
      <c r="A152" s="1" t="s">
        <v>159</v>
      </c>
      <c r="B152" s="1" t="str">
        <f aca="false">IF(LEFT(Table2[[#This Row],[Tab Name]],4)="&lt;SM&gt;","Static Model",IF(LEFT(Table2[[#This Row],[Tab Name]],4)="&lt;DM&gt;","Dynamic Model",IF(LEFT(Table2[[#This Row],[Tab Name]],4)="&lt;ST&gt;","Smart Table",IF(LEFT(Table2[[#This Row],[Tab Name]],4)="&lt;GT&gt;","Generic Table",""))))</f>
        <v>Generic Table</v>
      </c>
      <c r="C152" s="1" t="str">
        <f aca="false">CONCATENATE(MID(A152,5,1000)," details to be created in the system")</f>
        <v>MaterialTransferUrgency details to be created in the system</v>
      </c>
      <c r="D152" s="7" t="n">
        <f aca="false">IF(LEFT(Table2[[#This Row],[Tab Name]],1)="&lt;",D151+1,D151)</f>
        <v>94</v>
      </c>
    </row>
    <row r="153" customFormat="false" ht="15" hidden="false" customHeight="false" outlineLevel="0" collapsed="false">
      <c r="A153" s="1" t="s">
        <v>160</v>
      </c>
      <c r="B153" s="1" t="str">
        <f aca="false">IF(LEFT(Table2[[#This Row],[Tab Name]],4)="&lt;SM&gt;","Static Model",IF(LEFT(Table2[[#This Row],[Tab Name]],4)="&lt;DM&gt;","Dynamic Model",IF(LEFT(Table2[[#This Row],[Tab Name]],4)="&lt;ST&gt;","Smart Table",IF(LEFT(Table2[[#This Row],[Tab Name]],4)="&lt;GT&gt;","Generic Table",""))))</f>
        <v>Generic Table</v>
      </c>
      <c r="C153" s="1" t="str">
        <f aca="false">CONCATENATE(MID(A153,5,1000)," details to be created in the system")</f>
        <v>TransferOrderPriority details to be created in the system</v>
      </c>
      <c r="D153" s="7" t="n">
        <f aca="false">IF(LEFT(Table2[[#This Row],[Tab Name]],1)="&lt;",D152+1,D152)</f>
        <v>95</v>
      </c>
    </row>
    <row r="154" customFormat="false" ht="15" hidden="false" customHeight="false" outlineLevel="0" collapsed="false">
      <c r="A154" s="1" t="s">
        <v>161</v>
      </c>
      <c r="B154" s="1" t="str">
        <f aca="false">IF(LEFT(Table2[[#This Row],[Tab Name]],4)="&lt;SM&gt;","Static Model",IF(LEFT(Table2[[#This Row],[Tab Name]],4)="&lt;DM&gt;","Dynamic Model",IF(LEFT(Table2[[#This Row],[Tab Name]],4)="&lt;ST&gt;","Smart Table",IF(LEFT(Table2[[#This Row],[Tab Name]],4)="&lt;GT&gt;","Generic Table",""))))</f>
        <v>Generic Table</v>
      </c>
      <c r="C154" s="1" t="str">
        <f aca="false">CONCATENATE(MID(A154,5,1000)," details to be created in the system")</f>
        <v>TransferRequirementPriority details to be created in the system</v>
      </c>
      <c r="D154" s="7" t="n">
        <f aca="false">IF(LEFT(Table2[[#This Row],[Tab Name]],1)="&lt;",D153+1,D153)</f>
        <v>96</v>
      </c>
    </row>
    <row r="155" customFormat="false" ht="15" hidden="false" customHeight="false" outlineLevel="0" collapsed="false">
      <c r="A155" s="1" t="s">
        <v>162</v>
      </c>
      <c r="B155" s="1" t="str">
        <f aca="false">IF(LEFT(Table2[[#This Row],[Tab Name]],4)="&lt;SM&gt;","Static Model",IF(LEFT(Table2[[#This Row],[Tab Name]],4)="&lt;DM&gt;","Dynamic Model",IF(LEFT(Table2[[#This Row],[Tab Name]],4)="&lt;ST&gt;","Smart Table",IF(LEFT(Table2[[#This Row],[Tab Name]],4)="&lt;GT&gt;","Generic Table",""))))</f>
        <v>Generic Table</v>
      </c>
      <c r="C155" s="1" t="str">
        <f aca="false">CONCATENATE(MID(A155,5,1000)," details to be created in the system")</f>
        <v>ProductUnitConversionFactors details to be created in the system</v>
      </c>
      <c r="D155" s="7" t="n">
        <f aca="false">IF(LEFT(Table2[[#This Row],[Tab Name]],1)="&lt;",D154+1,D154)</f>
        <v>97</v>
      </c>
    </row>
    <row r="156" customFormat="false" ht="15" hidden="false" customHeight="false" outlineLevel="0" collapsed="false">
      <c r="A156" s="1" t="s">
        <v>163</v>
      </c>
      <c r="B156" s="1" t="str">
        <f aca="false">IF(LEFT(Table2[[#This Row],[Tab Name]],4)="&lt;SM&gt;","Static Model",IF(LEFT(Table2[[#This Row],[Tab Name]],4)="&lt;DM&gt;","Dynamic Model",IF(LEFT(Table2[[#This Row],[Tab Name]],4)="&lt;ST&gt;","Smart Table",IF(LEFT(Table2[[#This Row],[Tab Name]],4)="&lt;GT&gt;","Generic Table",""))))</f>
        <v>Generic Table</v>
      </c>
      <c r="C156" s="1" t="str">
        <f aca="false">CONCATENATE(MID(A156,5,1000)," details to be created in the system")</f>
        <v>UnitConversionFactors details to be created in the system</v>
      </c>
      <c r="D156" s="7" t="n">
        <f aca="false">IF(LEFT(Table2[[#This Row],[Tab Name]],1)="&lt;",D155+1,D155)</f>
        <v>98</v>
      </c>
    </row>
    <row r="157" customFormat="false" ht="30" hidden="false" customHeight="true" outlineLevel="0" collapsed="false">
      <c r="A157" s="1" t="s">
        <v>164</v>
      </c>
      <c r="B157" s="1" t="str">
        <f aca="false">IF(LEFT(Table2[[#This Row],[Tab Name]],4)="&lt;SM&gt;","Static Model",IF(LEFT(Table2[[#This Row],[Tab Name]],4)="&lt;DM&gt;","Dynamic Model",IF(LEFT(Table2[[#This Row],[Tab Name]],4)="&lt;ST&gt;","Smart Table",IF(LEFT(Table2[[#This Row],[Tab Name]],4)="&lt;GT&gt;","Generic Table",""))))</f>
        <v>Smart Table</v>
      </c>
      <c r="C157" s="1" t="str">
        <f aca="false">CONCATENATE(MID(A157,5,1000)," details to be created in the system")</f>
        <v>SmartTable details to be created in the system</v>
      </c>
      <c r="D157" s="7" t="n">
        <f aca="false">IF(LEFT(Table2[[#This Row],[Tab Name]],1)="&lt;",D156+1,D156)</f>
        <v>99</v>
      </c>
    </row>
    <row r="158" customFormat="false" ht="15" hidden="false" customHeight="false" outlineLevel="0" collapsed="false">
      <c r="A158" s="1" t="s">
        <v>165</v>
      </c>
      <c r="B158" s="1" t="str">
        <f aca="false">IF(LEFT(Table2[[#This Row],[Tab Name]],4)="&lt;SM&gt;","Static Model",IF(LEFT(Table2[[#This Row],[Tab Name]],4)="&lt;DM&gt;","Dynamic Model",IF(LEFT(Table2[[#This Row],[Tab Name]],4)="&lt;ST&gt;","Smart Table",IF(LEFT(Table2[[#This Row],[Tab Name]],4)="&lt;GT&gt;","Generic Table",""))))</f>
        <v/>
      </c>
      <c r="C158" s="1" t="str">
        <f aca="false">CONCATENATE(MID(A158,5,1000)," details to be created in the system")</f>
        <v>tTableProperties details to be created in the system</v>
      </c>
      <c r="D158" s="7" t="n">
        <f aca="false">IF(LEFT(Table2[[#This Row],[Tab Name]],1)="&lt;",D157+1,D157)</f>
        <v>99</v>
      </c>
    </row>
    <row r="159" customFormat="false" ht="15" hidden="false" customHeight="false" outlineLevel="0" collapsed="false">
      <c r="A159" s="1" t="s">
        <v>166</v>
      </c>
      <c r="B159" s="1" t="str">
        <f aca="false">IF(LEFT(Table2[[#This Row],[Tab Name]],4)="&lt;SM&gt;","Static Model",IF(LEFT(Table2[[#This Row],[Tab Name]],4)="&lt;DM&gt;","Dynamic Model",IF(LEFT(Table2[[#This Row],[Tab Name]],4)="&lt;ST&gt;","Smart Table",IF(LEFT(Table2[[#This Row],[Tab Name]],4)="&lt;GT&gt;","Generic Table",""))))</f>
        <v/>
      </c>
      <c r="C159" s="1" t="str">
        <f aca="false">CONCATENATE(MID(A159,5,1000)," details to be created in the system")</f>
        <v>tTablePrecedenceKeys details to be created in the system</v>
      </c>
      <c r="D159" s="7" t="n">
        <f aca="false">IF(LEFT(Table2[[#This Row],[Tab Name]],1)="&lt;",D158+1,D158)</f>
        <v>99</v>
      </c>
    </row>
    <row r="160" customFormat="false" ht="15" hidden="false" customHeight="false" outlineLevel="0" collapsed="false">
      <c r="A160" s="1" t="s">
        <v>167</v>
      </c>
      <c r="B160" s="1" t="str">
        <f aca="false">IF(LEFT(Table2[[#This Row],[Tab Name]],4)="&lt;SM&gt;","Static Model",IF(LEFT(Table2[[#This Row],[Tab Name]],4)="&lt;DM&gt;","Dynamic Model",IF(LEFT(Table2[[#This Row],[Tab Name]],4)="&lt;ST&gt;","Smart Table",IF(LEFT(Table2[[#This Row],[Tab Name]],4)="&lt;GT&gt;","Generic Table",""))))</f>
        <v>Generic Table</v>
      </c>
      <c r="C160" s="1" t="str">
        <f aca="false">CONCATENATE(MID(A160,5,1000)," details to be created in the system")</f>
        <v>ContextResolution details to be created in the system</v>
      </c>
      <c r="D160" s="7" t="n">
        <f aca="false">IF(LEFT(Table2[[#This Row],[Tab Name]],1)="&lt;",D159+1,D159)</f>
        <v>100</v>
      </c>
    </row>
    <row r="161" customFormat="false" ht="15" hidden="false" customHeight="false" outlineLevel="0" collapsed="false">
      <c r="A161" s="1" t="s">
        <v>168</v>
      </c>
      <c r="B161" s="1" t="str">
        <f aca="false">IF(LEFT(Table2[[#This Row],[Tab Name]],4)="&lt;SM&gt;","Static Model",IF(LEFT(Table2[[#This Row],[Tab Name]],4)="&lt;DM&gt;","Dynamic Model",IF(LEFT(Table2[[#This Row],[Tab Name]],4)="&lt;ST&gt;","Smart Table",IF(LEFT(Table2[[#This Row],[Tab Name]],4)="&lt;GT&gt;","Generic Table",""))))</f>
        <v>Smart Table</v>
      </c>
      <c r="C161" s="1" t="str">
        <f aca="false">CONCATENATE(MID(A161,5,1000)," details to be created in the system")</f>
        <v>ServiceContext details to be created in the system</v>
      </c>
      <c r="D161" s="7" t="n">
        <f aca="false">IF(LEFT(Table2[[#This Row],[Tab Name]],1)="&lt;",D160+1,D160)</f>
        <v>101</v>
      </c>
    </row>
    <row r="162" customFormat="false" ht="15" hidden="false" customHeight="false" outlineLevel="0" collapsed="false">
      <c r="A162" s="1" t="s">
        <v>169</v>
      </c>
      <c r="B162" s="1" t="str">
        <f aca="false">IF(LEFT(Table2[[#This Row],[Tab Name]],4)="&lt;SM&gt;","Static Model",IF(LEFT(Table2[[#This Row],[Tab Name]],4)="&lt;DM&gt;","Dynamic Model",IF(LEFT(Table2[[#This Row],[Tab Name]],4)="&lt;ST&gt;","Smart Table",IF(LEFT(Table2[[#This Row],[Tab Name]],4)="&lt;GT&gt;","Generic Table",""))))</f>
        <v>Smart Table</v>
      </c>
      <c r="C162" s="1" t="str">
        <f aca="false">CONCATENATE(MID(A162,5,1000)," details to be created in the system")</f>
        <v>ApplicationSettingsContext details to be created in the system</v>
      </c>
      <c r="D162" s="7" t="n">
        <f aca="false">IF(LEFT(Table2[[#This Row],[Tab Name]],1)="&lt;",D161+1,D161)</f>
        <v>102</v>
      </c>
    </row>
    <row r="163" customFormat="false" ht="15" hidden="false" customHeight="false" outlineLevel="0" collapsed="false">
      <c r="A163" s="1" t="s">
        <v>170</v>
      </c>
      <c r="B163" s="1" t="str">
        <f aca="false">IF(LEFT(Table2[[#This Row],[Tab Name]],4)="&lt;SM&gt;","Static Model",IF(LEFT(Table2[[#This Row],[Tab Name]],4)="&lt;DM&gt;","Dynamic Model",IF(LEFT(Table2[[#This Row],[Tab Name]],4)="&lt;ST&gt;","Smart Table",IF(LEFT(Table2[[#This Row],[Tab Name]],4)="&lt;GT&gt;","Generic Table",""))))</f>
        <v>Smart Table</v>
      </c>
      <c r="C163" s="1" t="str">
        <f aca="false">CONCATENATE(MID(A163,5,1000)," details to be created in the system")</f>
        <v>AreaPrintableDocumentContext details to be created in the system</v>
      </c>
      <c r="D163" s="7" t="n">
        <f aca="false">IF(LEFT(Table2[[#This Row],[Tab Name]],1)="&lt;",D162+1,D162)</f>
        <v>103</v>
      </c>
    </row>
    <row r="164" customFormat="false" ht="15" hidden="false" customHeight="false" outlineLevel="0" collapsed="false">
      <c r="A164" s="1" t="s">
        <v>171</v>
      </c>
      <c r="B164" s="1" t="str">
        <f aca="false">IF(LEFT(Table2[[#This Row],[Tab Name]],4)="&lt;SM&gt;","Static Model",IF(LEFT(Table2[[#This Row],[Tab Name]],4)="&lt;DM&gt;","Dynamic Model",IF(LEFT(Table2[[#This Row],[Tab Name]],4)="&lt;ST&gt;","Smart Table",IF(LEFT(Table2[[#This Row],[Tab Name]],4)="&lt;GT&gt;","Generic Table",""))))</f>
        <v>Smart Table</v>
      </c>
      <c r="C164" s="1" t="str">
        <f aca="false">CONCATENATE(MID(A164,5,1000)," details to be created in the system")</f>
        <v>BOMContext details to be created in the system</v>
      </c>
      <c r="D164" s="7" t="n">
        <f aca="false">IF(LEFT(Table2[[#This Row],[Tab Name]],1)="&lt;",D163+1,D163)</f>
        <v>104</v>
      </c>
    </row>
    <row r="165" customFormat="false" ht="15" hidden="false" customHeight="false" outlineLevel="0" collapsed="false">
      <c r="A165" s="1" t="s">
        <v>172</v>
      </c>
      <c r="B165" s="1" t="str">
        <f aca="false">IF(LEFT(Table2[[#This Row],[Tab Name]],4)="&lt;SM&gt;","Static Model",IF(LEFT(Table2[[#This Row],[Tab Name]],4)="&lt;DM&gt;","Dynamic Model",IF(LEFT(Table2[[#This Row],[Tab Name]],4)="&lt;ST&gt;","Smart Table",IF(LEFT(Table2[[#This Row],[Tab Name]],4)="&lt;GT&gt;","Generic Table",""))))</f>
        <v>Smart Table</v>
      </c>
      <c r="C165" s="1" t="str">
        <f aca="false">CONCATENATE(MID(A165,5,1000)," details to be created in the system")</f>
        <v>ChangeSetApprovalContext details to be created in the system</v>
      </c>
      <c r="D165" s="7" t="n">
        <f aca="false">IF(LEFT(Table2[[#This Row],[Tab Name]],1)="&lt;",D164+1,D164)</f>
        <v>105</v>
      </c>
    </row>
    <row r="166" customFormat="false" ht="15" hidden="false" customHeight="false" outlineLevel="0" collapsed="false">
      <c r="A166" s="1" t="s">
        <v>173</v>
      </c>
      <c r="B166" s="1" t="str">
        <f aca="false">IF(LEFT(Table2[[#This Row],[Tab Name]],4)="&lt;SM&gt;","Static Model",IF(LEFT(Table2[[#This Row],[Tab Name]],4)="&lt;DM&gt;","Dynamic Model",IF(LEFT(Table2[[#This Row],[Tab Name]],4)="&lt;ST&gt;","Smart Table",IF(LEFT(Table2[[#This Row],[Tab Name]],4)="&lt;GT&gt;","Generic Table",""))))</f>
        <v>Smart Table</v>
      </c>
      <c r="C166" s="1" t="str">
        <f aca="false">CONCATENATE(MID(A166,5,1000)," details to be created in the system")</f>
        <v>IntegrationHandlerResolution details to be created in the system</v>
      </c>
      <c r="D166" s="7" t="n">
        <f aca="false">IF(LEFT(Table2[[#This Row],[Tab Name]],1)="&lt;",D165+1,D165)</f>
        <v>106</v>
      </c>
    </row>
    <row r="167" customFormat="false" ht="15" hidden="false" customHeight="false" outlineLevel="0" collapsed="false">
      <c r="A167" s="1" t="s">
        <v>174</v>
      </c>
      <c r="B167" s="1" t="str">
        <f aca="false">IF(LEFT(Table2[[#This Row],[Tab Name]],4)="&lt;SM&gt;","Static Model",IF(LEFT(Table2[[#This Row],[Tab Name]],4)="&lt;DM&gt;","Dynamic Model",IF(LEFT(Table2[[#This Row],[Tab Name]],4)="&lt;ST&gt;","Smart Table",IF(LEFT(Table2[[#This Row],[Tab Name]],4)="&lt;GT&gt;","Generic Table",""))))</f>
        <v>Smart Table</v>
      </c>
      <c r="C167" s="1" t="str">
        <f aca="false">CONCATENATE(MID(A167,5,1000)," details to be created in the system")</f>
        <v>LayoutPersonalizationContext details to be created in the system</v>
      </c>
      <c r="D167" s="7" t="n">
        <f aca="false">IF(LEFT(Table2[[#This Row],[Tab Name]],1)="&lt;",D166+1,D166)</f>
        <v>107</v>
      </c>
    </row>
    <row r="168" customFormat="false" ht="15" hidden="false" customHeight="false" outlineLevel="0" collapsed="false">
      <c r="A168" s="1" t="s">
        <v>175</v>
      </c>
      <c r="B168" s="1" t="str">
        <f aca="false">IF(LEFT(Table2[[#This Row],[Tab Name]],4)="&lt;SM&gt;","Static Model",IF(LEFT(Table2[[#This Row],[Tab Name]],4)="&lt;DM&gt;","Dynamic Model",IF(LEFT(Table2[[#This Row],[Tab Name]],4)="&lt;ST&gt;","Smart Table",IF(LEFT(Table2[[#This Row],[Tab Name]],4)="&lt;GT&gt;","Generic Table",""))))</f>
        <v>Smart Table</v>
      </c>
      <c r="C168" s="1" t="str">
        <f aca="false">CONCATENATE(MID(A168,5,1000)," details to be created in the system")</f>
        <v>MapDefinitionContext details to be created in the system</v>
      </c>
      <c r="D168" s="7" t="n">
        <f aca="false">IF(LEFT(Table2[[#This Row],[Tab Name]],1)="&lt;",D167+1,D167)</f>
        <v>108</v>
      </c>
    </row>
    <row r="169" customFormat="false" ht="15" hidden="false" customHeight="false" outlineLevel="0" collapsed="false">
      <c r="A169" s="1" t="s">
        <v>176</v>
      </c>
      <c r="B169" s="1" t="str">
        <f aca="false">IF(LEFT(Table2[[#This Row],[Tab Name]],4)="&lt;SM&gt;","Static Model",IF(LEFT(Table2[[#This Row],[Tab Name]],4)="&lt;DM&gt;","Dynamic Model",IF(LEFT(Table2[[#This Row],[Tab Name]],4)="&lt;ST&gt;","Smart Table",IF(LEFT(Table2[[#This Row],[Tab Name]],4)="&lt;GT&gt;","Generic Table",""))))</f>
        <v>Smart Table</v>
      </c>
      <c r="C169" s="1" t="str">
        <f aca="false">CONCATENATE(MID(A169,5,1000)," details to be created in the system")</f>
        <v>MaterialCheckListContext details to be created in the system</v>
      </c>
      <c r="D169" s="7" t="n">
        <f aca="false">IF(LEFT(Table2[[#This Row],[Tab Name]],1)="&lt;",D168+1,D168)</f>
        <v>109</v>
      </c>
    </row>
    <row r="170" customFormat="false" ht="15" hidden="false" customHeight="false" outlineLevel="0" collapsed="false">
      <c r="A170" s="1" t="s">
        <v>177</v>
      </c>
      <c r="B170" s="1" t="str">
        <f aca="false">IF(LEFT(Table2[[#This Row],[Tab Name]],4)="&lt;SM&gt;","Static Model",IF(LEFT(Table2[[#This Row],[Tab Name]],4)="&lt;DM&gt;","Dynamic Model",IF(LEFT(Table2[[#This Row],[Tab Name]],4)="&lt;ST&gt;","Smart Table",IF(LEFT(Table2[[#This Row],[Tab Name]],4)="&lt;GT&gt;","Generic Table",""))))</f>
        <v>Smart Table</v>
      </c>
      <c r="C170" s="1" t="str">
        <f aca="false">CONCATENATE(MID(A170,5,1000)," details to be created in the system")</f>
        <v>MaterialDataCollectionContext details to be created in the system</v>
      </c>
      <c r="D170" s="7" t="n">
        <f aca="false">IF(LEFT(Table2[[#This Row],[Tab Name]],1)="&lt;",D169+1,D169)</f>
        <v>110</v>
      </c>
    </row>
    <row r="171" customFormat="false" ht="15" hidden="false" customHeight="false" outlineLevel="0" collapsed="false">
      <c r="A171" s="1" t="s">
        <v>178</v>
      </c>
      <c r="B171" s="1" t="str">
        <f aca="false">IF(LEFT(Table2[[#This Row],[Tab Name]],4)="&lt;SM&gt;","Static Model",IF(LEFT(Table2[[#This Row],[Tab Name]],4)="&lt;DM&gt;","Dynamic Model",IF(LEFT(Table2[[#This Row],[Tab Name]],4)="&lt;ST&gt;","Smart Table",IF(LEFT(Table2[[#This Row],[Tab Name]],4)="&lt;GT&gt;","Generic Table",""))))</f>
        <v>Smart Table</v>
      </c>
      <c r="C171" s="1" t="str">
        <f aca="false">CONCATENATE(MID(A171,5,1000)," details to be created in the system")</f>
        <v>MaterialDocumentContext details to be created in the system</v>
      </c>
      <c r="D171" s="7" t="n">
        <f aca="false">IF(LEFT(Table2[[#This Row],[Tab Name]],1)="&lt;",D170+1,D170)</f>
        <v>111</v>
      </c>
    </row>
    <row r="172" customFormat="false" ht="15" hidden="false" customHeight="false" outlineLevel="0" collapsed="false">
      <c r="A172" s="1" t="s">
        <v>179</v>
      </c>
      <c r="B172" s="1" t="str">
        <f aca="false">IF(LEFT(Table2[[#This Row],[Tab Name]],4)="&lt;SM&gt;","Static Model",IF(LEFT(Table2[[#This Row],[Tab Name]],4)="&lt;DM&gt;","Dynamic Model",IF(LEFT(Table2[[#This Row],[Tab Name]],4)="&lt;ST&gt;","Smart Table",IF(LEFT(Table2[[#This Row],[Tab Name]],4)="&lt;GT&gt;","Generic Table",""))))</f>
        <v>Smart Table</v>
      </c>
      <c r="C172" s="1" t="str">
        <f aca="false">CONCATENATE(MID(A172,5,1000)," details to be created in the system")</f>
        <v>MaterialDurablesContext details to be created in the system</v>
      </c>
      <c r="D172" s="7" t="n">
        <f aca="false">IF(LEFT(Table2[[#This Row],[Tab Name]],1)="&lt;",D171+1,D171)</f>
        <v>112</v>
      </c>
    </row>
    <row r="173" customFormat="false" ht="15" hidden="false" customHeight="false" outlineLevel="0" collapsed="false">
      <c r="A173" s="1" t="s">
        <v>180</v>
      </c>
      <c r="B173" s="1" t="str">
        <f aca="false">IF(LEFT(Table2[[#This Row],[Tab Name]],4)="&lt;SM&gt;","Static Model",IF(LEFT(Table2[[#This Row],[Tab Name]],4)="&lt;DM&gt;","Dynamic Model",IF(LEFT(Table2[[#This Row],[Tab Name]],4)="&lt;ST&gt;","Smart Table",IF(LEFT(Table2[[#This Row],[Tab Name]],4)="&lt;GT&gt;","Generic Table",""))))</f>
        <v>Smart Table</v>
      </c>
      <c r="C173" s="1" t="str">
        <f aca="false">CONCATENATE(MID(A173,5,1000)," details to be created in the system")</f>
        <v>MaterialPrintableDocumentContext details to be created in the system</v>
      </c>
      <c r="D173" s="7" t="n">
        <f aca="false">IF(LEFT(Table2[[#This Row],[Tab Name]],1)="&lt;",D172+1,D172)</f>
        <v>113</v>
      </c>
    </row>
    <row r="174" customFormat="false" ht="15" hidden="false" customHeight="false" outlineLevel="0" collapsed="false">
      <c r="A174" s="1" t="s">
        <v>181</v>
      </c>
      <c r="B174" s="1" t="str">
        <f aca="false">IF(LEFT(Table2[[#This Row],[Tab Name]],4)="&lt;SM&gt;","Static Model",IF(LEFT(Table2[[#This Row],[Tab Name]],4)="&lt;DM&gt;","Dynamic Model",IF(LEFT(Table2[[#This Row],[Tab Name]],4)="&lt;ST&gt;","Smart Table",IF(LEFT(Table2[[#This Row],[Tab Name]],4)="&lt;GT&gt;","Generic Table",""))))</f>
        <v>Smart Table</v>
      </c>
      <c r="C174" s="1" t="str">
        <f aca="false">CONCATENATE(MID(A174,5,1000)," details to be created in the system")</f>
        <v>NameGeneratorContext details to be created in the system</v>
      </c>
      <c r="D174" s="7" t="n">
        <f aca="false">IF(LEFT(Table2[[#This Row],[Tab Name]],1)="&lt;",D173+1,D173)</f>
        <v>114</v>
      </c>
    </row>
    <row r="175" customFormat="false" ht="15" hidden="false" customHeight="false" outlineLevel="0" collapsed="false">
      <c r="A175" s="1" t="s">
        <v>182</v>
      </c>
      <c r="B175" s="1" t="str">
        <f aca="false">IF(LEFT(Table2[[#This Row],[Tab Name]],4)="&lt;SM&gt;","Static Model",IF(LEFT(Table2[[#This Row],[Tab Name]],4)="&lt;DM&gt;","Dynamic Model",IF(LEFT(Table2[[#This Row],[Tab Name]],4)="&lt;ST&gt;","Smart Table",IF(LEFT(Table2[[#This Row],[Tab Name]],4)="&lt;GT&gt;","Generic Table",""))))</f>
        <v>Smart Table</v>
      </c>
      <c r="C175" s="1" t="str">
        <f aca="false">CONCATENATE(MID(A175,5,1000)," details to be created in the system")</f>
        <v>PrinterTypePrintersContext details to be created in the system</v>
      </c>
      <c r="D175" s="7" t="n">
        <f aca="false">IF(LEFT(Table2[[#This Row],[Tab Name]],1)="&lt;",D174+1,D174)</f>
        <v>115</v>
      </c>
    </row>
    <row r="176" customFormat="false" ht="15" hidden="false" customHeight="false" outlineLevel="0" collapsed="false">
      <c r="A176" s="1" t="s">
        <v>183</v>
      </c>
      <c r="B176" s="1" t="str">
        <f aca="false">IF(LEFT(Table2[[#This Row],[Tab Name]],4)="&lt;SM&gt;","Static Model",IF(LEFT(Table2[[#This Row],[Tab Name]],4)="&lt;DM&gt;","Dynamic Model",IF(LEFT(Table2[[#This Row],[Tab Name]],4)="&lt;ST&gt;","Smart Table",IF(LEFT(Table2[[#This Row],[Tab Name]],4)="&lt;GT&gt;","Generic Table",""))))</f>
        <v>Smart Table</v>
      </c>
      <c r="C176" s="1" t="str">
        <f aca="false">CONCATENATE(MID(A176,5,1000)," details to be created in the system")</f>
        <v>ResourceRunningMode details to be created in the system</v>
      </c>
      <c r="D176" s="7" t="n">
        <f aca="false">IF(LEFT(Table2[[#This Row],[Tab Name]],1)="&lt;",D175+1,D175)</f>
        <v>116</v>
      </c>
    </row>
    <row r="177" customFormat="false" ht="15" hidden="false" customHeight="false" outlineLevel="0" collapsed="false">
      <c r="A177" s="1" t="s">
        <v>184</v>
      </c>
      <c r="B177" s="1" t="str">
        <f aca="false">IF(LEFT(Table2[[#This Row],[Tab Name]],4)="&lt;SM&gt;","Static Model",IF(LEFT(Table2[[#This Row],[Tab Name]],4)="&lt;DM&gt;","Dynamic Model",IF(LEFT(Table2[[#This Row],[Tab Name]],4)="&lt;ST&gt;","Smart Table",IF(LEFT(Table2[[#This Row],[Tab Name]],4)="&lt;GT&gt;","Generic Table",""))))</f>
        <v>Smart Table</v>
      </c>
      <c r="C177" s="1" t="str">
        <f aca="false">CONCATENATE(MID(A177,5,1000)," details to be created in the system")</f>
        <v>RecipeContext details to be created in the system</v>
      </c>
      <c r="D177" s="7" t="n">
        <f aca="false">IF(LEFT(Table2[[#This Row],[Tab Name]],1)="&lt;",D176+1,D176)</f>
        <v>117</v>
      </c>
    </row>
    <row r="178" customFormat="false" ht="15" hidden="false" customHeight="false" outlineLevel="0" collapsed="false">
      <c r="A178" s="1" t="s">
        <v>185</v>
      </c>
      <c r="B178" s="1" t="str">
        <f aca="false">IF(LEFT(Table2[[#This Row],[Tab Name]],4)="&lt;SM&gt;","Static Model",IF(LEFT(Table2[[#This Row],[Tab Name]],4)="&lt;DM&gt;","Dynamic Model",IF(LEFT(Table2[[#This Row],[Tab Name]],4)="&lt;ST&gt;","Smart Table",IF(LEFT(Table2[[#This Row],[Tab Name]],4)="&lt;GT&gt;","Generic Table",""))))</f>
        <v>Smart Table</v>
      </c>
      <c r="C178" s="1" t="str">
        <f aca="false">CONCATENATE(MID(A178,5,1000)," details to be created in the system")</f>
        <v>RecipeParameterOverrideContext details to be created in the system</v>
      </c>
      <c r="D178" s="7" t="n">
        <f aca="false">IF(LEFT(Table2[[#This Row],[Tab Name]],1)="&lt;",D177+1,D177)</f>
        <v>118</v>
      </c>
    </row>
    <row r="179" customFormat="false" ht="15" hidden="false" customHeight="false" outlineLevel="0" collapsed="false">
      <c r="A179" s="1" t="s">
        <v>186</v>
      </c>
      <c r="B179" s="1" t="str">
        <f aca="false">IF(LEFT(Table2[[#This Row],[Tab Name]],4)="&lt;SM&gt;","Static Model",IF(LEFT(Table2[[#This Row],[Tab Name]],4)="&lt;DM&gt;","Dynamic Model",IF(LEFT(Table2[[#This Row],[Tab Name]],4)="&lt;ST&gt;","Smart Table",IF(LEFT(Table2[[#This Row],[Tab Name]],4)="&lt;GT&gt;","Generic Table",""))))</f>
        <v>Smart Table</v>
      </c>
      <c r="C179" s="1" t="str">
        <f aca="false">CONCATENATE(MID(A179,5,1000)," details to be created in the system")</f>
        <v>ResourceCapacity details to be created in the system</v>
      </c>
      <c r="D179" s="7" t="n">
        <f aca="false">IF(LEFT(Table2[[#This Row],[Tab Name]],1)="&lt;",D178+1,D178)</f>
        <v>119</v>
      </c>
    </row>
    <row r="180" customFormat="false" ht="15" hidden="false" customHeight="false" outlineLevel="0" collapsed="false">
      <c r="A180" s="1" t="s">
        <v>187</v>
      </c>
      <c r="B180" s="1" t="str">
        <f aca="false">IF(LEFT(Table2[[#This Row],[Tab Name]],4)="&lt;SM&gt;","Static Model",IF(LEFT(Table2[[#This Row],[Tab Name]],4)="&lt;DM&gt;","Dynamic Model",IF(LEFT(Table2[[#This Row],[Tab Name]],4)="&lt;ST&gt;","Smart Table",IF(LEFT(Table2[[#This Row],[Tab Name]],4)="&lt;GT&gt;","Generic Table",""))))</f>
        <v>Smart Table</v>
      </c>
      <c r="C180" s="1" t="str">
        <f aca="false">CONCATENATE(MID(A180,5,1000)," details to be created in the system")</f>
        <v>ResourceChartContext details to be created in the system</v>
      </c>
      <c r="D180" s="7" t="n">
        <f aca="false">IF(LEFT(Table2[[#This Row],[Tab Name]],1)="&lt;",D179+1,D179)</f>
        <v>120</v>
      </c>
    </row>
    <row r="181" customFormat="false" ht="15" hidden="false" customHeight="false" outlineLevel="0" collapsed="false">
      <c r="A181" s="1" t="s">
        <v>188</v>
      </c>
      <c r="B181" s="1" t="str">
        <f aca="false">IF(LEFT(Table2[[#This Row],[Tab Name]],4)="&lt;SM&gt;","Static Model",IF(LEFT(Table2[[#This Row],[Tab Name]],4)="&lt;DM&gt;","Dynamic Model",IF(LEFT(Table2[[#This Row],[Tab Name]],4)="&lt;ST&gt;","Smart Table",IF(LEFT(Table2[[#This Row],[Tab Name]],4)="&lt;GT&gt;","Generic Table",""))))</f>
        <v>Smart Table</v>
      </c>
      <c r="C181" s="1" t="str">
        <f aca="false">CONCATENATE(MID(A181,5,1000)," details to be created in the system")</f>
        <v>ResourceChecklistContext details to be created in the system</v>
      </c>
      <c r="D181" s="7" t="n">
        <f aca="false">IF(LEFT(Table2[[#This Row],[Tab Name]],1)="&lt;",D180+1,D180)</f>
        <v>121</v>
      </c>
    </row>
    <row r="182" customFormat="false" ht="15" hidden="false" customHeight="false" outlineLevel="0" collapsed="false">
      <c r="A182" s="1" t="s">
        <v>189</v>
      </c>
      <c r="B182" s="1" t="str">
        <f aca="false">IF(LEFT(Table2[[#This Row],[Tab Name]],4)="&lt;SM&gt;","Static Model",IF(LEFT(Table2[[#This Row],[Tab Name]],4)="&lt;DM&gt;","Dynamic Model",IF(LEFT(Table2[[#This Row],[Tab Name]],4)="&lt;ST&gt;","Smart Table",IF(LEFT(Table2[[#This Row],[Tab Name]],4)="&lt;GT&gt;","Generic Table",""))))</f>
        <v>Smart Table</v>
      </c>
      <c r="C182" s="1" t="str">
        <f aca="false">CONCATENATE(MID(A182,5,1000)," details to be created in the system")</f>
        <v>ResourceDataCollectionContext details to be created in the system</v>
      </c>
      <c r="D182" s="7" t="n">
        <f aca="false">IF(LEFT(Table2[[#This Row],[Tab Name]],1)="&lt;",D181+1,D181)</f>
        <v>122</v>
      </c>
    </row>
    <row r="183" customFormat="false" ht="15" hidden="false" customHeight="false" outlineLevel="0" collapsed="false">
      <c r="A183" s="1" t="s">
        <v>190</v>
      </c>
      <c r="B183" s="1" t="str">
        <f aca="false">IF(LEFT(Table2[[#This Row],[Tab Name]],4)="&lt;SM&gt;","Static Model",IF(LEFT(Table2[[#This Row],[Tab Name]],4)="&lt;DM&gt;","Dynamic Model",IF(LEFT(Table2[[#This Row],[Tab Name]],4)="&lt;ST&gt;","Smart Table",IF(LEFT(Table2[[#This Row],[Tab Name]],4)="&lt;GT&gt;","Generic Table",""))))</f>
        <v>Smart Table</v>
      </c>
      <c r="C183" s="1" t="str">
        <f aca="false">CONCATENATE(MID(A183,5,1000)," details to be created in the system")</f>
        <v>ResourceDocumentContext details to be created in the system</v>
      </c>
      <c r="D183" s="7" t="n">
        <f aca="false">IF(LEFT(Table2[[#This Row],[Tab Name]],1)="&lt;",D182+1,D182)</f>
        <v>123</v>
      </c>
    </row>
    <row r="184" customFormat="false" ht="15" hidden="false" customHeight="false" outlineLevel="0" collapsed="false">
      <c r="A184" s="1" t="s">
        <v>191</v>
      </c>
      <c r="B184" s="1" t="str">
        <f aca="false">IF(LEFT(Table2[[#This Row],[Tab Name]],4)="&lt;SM&gt;","Static Model",IF(LEFT(Table2[[#This Row],[Tab Name]],4)="&lt;DM&gt;","Dynamic Model",IF(LEFT(Table2[[#This Row],[Tab Name]],4)="&lt;ST&gt;","Smart Table",IF(LEFT(Table2[[#This Row],[Tab Name]],4)="&lt;GT&gt;","Generic Table",""))))</f>
        <v>Smart Table</v>
      </c>
      <c r="C184" s="1" t="str">
        <f aca="false">CONCATENATE(MID(A184,5,1000)," details to be created in the system")</f>
        <v>ResourceIdealCycleTime details to be created in the system</v>
      </c>
      <c r="D184" s="7" t="n">
        <f aca="false">IF(LEFT(Table2[[#This Row],[Tab Name]],1)="&lt;",D183+1,D183)</f>
        <v>124</v>
      </c>
    </row>
    <row r="185" customFormat="false" ht="15" hidden="false" customHeight="false" outlineLevel="0" collapsed="false">
      <c r="A185" s="1" t="s">
        <v>192</v>
      </c>
      <c r="B185" s="1" t="str">
        <f aca="false">IF(LEFT(Table2[[#This Row],[Tab Name]],4)="&lt;SM&gt;","Static Model",IF(LEFT(Table2[[#This Row],[Tab Name]],4)="&lt;DM&gt;","Dynamic Model",IF(LEFT(Table2[[#This Row],[Tab Name]],4)="&lt;ST&gt;","Smart Table",IF(LEFT(Table2[[#This Row],[Tab Name]],4)="&lt;GT&gt;","Generic Table",""))))</f>
        <v>Smart Table</v>
      </c>
      <c r="C185" s="1" t="str">
        <f aca="false">CONCATENATE(MID(A185,5,1000)," details to be created in the system")</f>
        <v>ResourceProcessTime details to be created in the system</v>
      </c>
      <c r="D185" s="7" t="n">
        <f aca="false">IF(LEFT(Table2[[#This Row],[Tab Name]],1)="&lt;",D184+1,D184)</f>
        <v>125</v>
      </c>
    </row>
    <row r="186" customFormat="false" ht="15" hidden="false" customHeight="false" outlineLevel="0" collapsed="false">
      <c r="A186" s="1" t="s">
        <v>193</v>
      </c>
      <c r="B186" s="1" t="str">
        <f aca="false">IF(LEFT(Table2[[#This Row],[Tab Name]],4)="&lt;SM&gt;","Static Model",IF(LEFT(Table2[[#This Row],[Tab Name]],4)="&lt;DM&gt;","Dynamic Model",IF(LEFT(Table2[[#This Row],[Tab Name]],4)="&lt;ST&gt;","Smart Table",IF(LEFT(Table2[[#This Row],[Tab Name]],4)="&lt;GT&gt;","Generic Table",""))))</f>
        <v>Smart Table</v>
      </c>
      <c r="C186" s="1" t="str">
        <f aca="false">CONCATENATE(MID(A186,5,1000)," details to be created in the system")</f>
        <v>ResourceReplenishmentContext details to be created in the system</v>
      </c>
      <c r="D186" s="7" t="n">
        <f aca="false">IF(LEFT(Table2[[#This Row],[Tab Name]],1)="&lt;",D185+1,D185)</f>
        <v>126</v>
      </c>
    </row>
    <row r="187" customFormat="false" ht="15" hidden="false" customHeight="false" outlineLevel="0" collapsed="false">
      <c r="A187" s="1" t="s">
        <v>194</v>
      </c>
      <c r="B187" s="1" t="str">
        <f aca="false">IF(LEFT(Table2[[#This Row],[Tab Name]],4)="&lt;SM&gt;","Static Model",IF(LEFT(Table2[[#This Row],[Tab Name]],4)="&lt;DM&gt;","Dynamic Model",IF(LEFT(Table2[[#This Row],[Tab Name]],4)="&lt;ST&gt;","Smart Table",IF(LEFT(Table2[[#This Row],[Tab Name]],4)="&lt;GT&gt;","Generic Table",""))))</f>
        <v>Smart Table</v>
      </c>
      <c r="C187" s="1" t="str">
        <f aca="false">CONCATENATE(MID(A187,5,1000)," details to be created in the system")</f>
        <v>SchedulingTransferMaterialSize details to be created in the system</v>
      </c>
      <c r="D187" s="7" t="n">
        <f aca="false">IF(LEFT(Table2[[#This Row],[Tab Name]],1)="&lt;",D186+1,D186)</f>
        <v>127</v>
      </c>
    </row>
    <row r="188" customFormat="false" ht="15" hidden="false" customHeight="false" outlineLevel="0" collapsed="false">
      <c r="A188" s="1" t="s">
        <v>195</v>
      </c>
      <c r="B188" s="1" t="str">
        <f aca="false">IF(LEFT(Table2[[#This Row],[Tab Name]],4)="&lt;SM&gt;","Static Model",IF(LEFT(Table2[[#This Row],[Tab Name]],4)="&lt;DM&gt;","Dynamic Model",IF(LEFT(Table2[[#This Row],[Tab Name]],4)="&lt;ST&gt;","Smart Table",IF(LEFT(Table2[[#This Row],[Tab Name]],4)="&lt;GT&gt;","Generic Table",""))))</f>
        <v>Smart Table</v>
      </c>
      <c r="C188" s="1" t="str">
        <f aca="false">CONCATENATE(MID(A188,5,1000)," details to be created in the system")</f>
        <v>StepCertificationRequirementsContext details to be created in the system</v>
      </c>
      <c r="D188" s="7" t="n">
        <f aca="false">IF(LEFT(Table2[[#This Row],[Tab Name]],1)="&lt;",D187+1,D187)</f>
        <v>128</v>
      </c>
    </row>
    <row r="189" customFormat="false" ht="15" hidden="false" customHeight="false" outlineLevel="0" collapsed="false">
      <c r="A189" s="1" t="s">
        <v>196</v>
      </c>
      <c r="B189" s="1" t="str">
        <f aca="false">IF(LEFT(Table2[[#This Row],[Tab Name]],4)="&lt;SM&gt;","Static Model",IF(LEFT(Table2[[#This Row],[Tab Name]],4)="&lt;DM&gt;","Dynamic Model",IF(LEFT(Table2[[#This Row],[Tab Name]],4)="&lt;ST&gt;","Smart Table",IF(LEFT(Table2[[#This Row],[Tab Name]],4)="&lt;GT&gt;","Generic Table",""))))</f>
        <v>Smart Table</v>
      </c>
      <c r="C189" s="1" t="str">
        <f aca="false">CONCATENATE(MID(A189,5,1000)," details to be created in the system")</f>
        <v>StepChartContext details to be created in the system</v>
      </c>
      <c r="D189" s="7" t="n">
        <f aca="false">IF(LEFT(Table2[[#This Row],[Tab Name]],1)="&lt;",D188+1,D188)</f>
        <v>129</v>
      </c>
    </row>
    <row r="190" customFormat="false" ht="15" hidden="false" customHeight="false" outlineLevel="0" collapsed="false">
      <c r="A190" s="1" t="s">
        <v>197</v>
      </c>
      <c r="B190" s="1" t="str">
        <f aca="false">IF(LEFT(Table2[[#This Row],[Tab Name]],4)="&lt;SM&gt;","Static Model",IF(LEFT(Table2[[#This Row],[Tab Name]],4)="&lt;DM&gt;","Dynamic Model",IF(LEFT(Table2[[#This Row],[Tab Name]],4)="&lt;ST&gt;","Smart Table",IF(LEFT(Table2[[#This Row],[Tab Name]],4)="&lt;GT&gt;","Generic Table",""))))</f>
        <v>Smart Table</v>
      </c>
      <c r="C190" s="1" t="str">
        <f aca="false">CONCATENATE(MID(A190,5,1000)," details to be created in the system")</f>
        <v>StepLineFlowContext details to be created in the system</v>
      </c>
      <c r="D190" s="7" t="n">
        <f aca="false">IF(LEFT(Table2[[#This Row],[Tab Name]],1)="&lt;",D189+1,D189)</f>
        <v>130</v>
      </c>
    </row>
    <row r="191" customFormat="false" ht="15" hidden="false" customHeight="false" outlineLevel="0" collapsed="false">
      <c r="A191" s="1" t="s">
        <v>198</v>
      </c>
      <c r="B191" s="1" t="str">
        <f aca="false">IF(LEFT(Table2[[#This Row],[Tab Name]],4)="&lt;SM&gt;","Static Model",IF(LEFT(Table2[[#This Row],[Tab Name]],4)="&lt;DM&gt;","Dynamic Model",IF(LEFT(Table2[[#This Row],[Tab Name]],4)="&lt;ST&gt;","Smart Table",IF(LEFT(Table2[[#This Row],[Tab Name]],4)="&lt;GT&gt;","Generic Table",""))))</f>
        <v>Smart Table</v>
      </c>
      <c r="C191" s="1" t="str">
        <f aca="false">CONCATENATE(MID(A191,5,1000)," details to be created in the system")</f>
        <v>StepProductYieldAndCycleTimeContext details to be created in the system</v>
      </c>
      <c r="D191" s="7" t="n">
        <f aca="false">IF(LEFT(Table2[[#This Row],[Tab Name]],1)="&lt;",D190+1,D190)</f>
        <v>131</v>
      </c>
    </row>
    <row r="192" customFormat="false" ht="15" hidden="false" customHeight="false" outlineLevel="0" collapsed="false">
      <c r="A192" s="1" t="s">
        <v>199</v>
      </c>
      <c r="B192" s="1" t="str">
        <f aca="false">IF(LEFT(Table2[[#This Row],[Tab Name]],4)="&lt;SM&gt;","Static Model",IF(LEFT(Table2[[#This Row],[Tab Name]],4)="&lt;DM&gt;","Dynamic Model",IF(LEFT(Table2[[#This Row],[Tab Name]],4)="&lt;ST&gt;","Smart Table",IF(LEFT(Table2[[#This Row],[Tab Name]],4)="&lt;GT&gt;","Generic Table",""))))</f>
        <v>Smart Table</v>
      </c>
      <c r="C192" s="1" t="str">
        <f aca="false">CONCATENATE(MID(A192,5,1000)," details to be created in the system")</f>
        <v>StepSamplingPatternContext details to be created in the system</v>
      </c>
      <c r="D192" s="7" t="n">
        <f aca="false">IF(LEFT(Table2[[#This Row],[Tab Name]],1)="&lt;",D191+1,D191)</f>
        <v>132</v>
      </c>
    </row>
    <row r="193" customFormat="false" ht="15" hidden="false" customHeight="false" outlineLevel="0" collapsed="false">
      <c r="A193" s="1" t="s">
        <v>200</v>
      </c>
      <c r="B193" s="1" t="str">
        <f aca="false">IF(LEFT(Table2[[#This Row],[Tab Name]],4)="&lt;SM&gt;","Static Model",IF(LEFT(Table2[[#This Row],[Tab Name]],4)="&lt;DM&gt;","Dynamic Model",IF(LEFT(Table2[[#This Row],[Tab Name]],4)="&lt;ST&gt;","Smart Table",IF(LEFT(Table2[[#This Row],[Tab Name]],4)="&lt;GT&gt;","Generic Table",""))))</f>
        <v>Smart Table</v>
      </c>
      <c r="C193" s="1" t="str">
        <f aca="false">CONCATENATE(MID(A193,5,1000)," details to be created in the system")</f>
        <v>StepInspectionPlanContext details to be created in the system</v>
      </c>
      <c r="D193" s="7" t="n">
        <f aca="false">IF(LEFT(Table2[[#This Row],[Tab Name]],1)="&lt;",D192+1,D192)</f>
        <v>133</v>
      </c>
    </row>
    <row r="194" customFormat="false" ht="15" hidden="false" customHeight="false" outlineLevel="0" collapsed="false">
      <c r="A194" s="1" t="s">
        <v>201</v>
      </c>
      <c r="B194" s="1" t="str">
        <f aca="false">IF(LEFT(Table2[[#This Row],[Tab Name]],4)="&lt;SM&gt;","Static Model",IF(LEFT(Table2[[#This Row],[Tab Name]],4)="&lt;DM&gt;","Dynamic Model",IF(LEFT(Table2[[#This Row],[Tab Name]],4)="&lt;ST&gt;","Smart Table",IF(LEFT(Table2[[#This Row],[Tab Name]],4)="&lt;GT&gt;","Generic Table",""))))</f>
        <v>Smart Table</v>
      </c>
      <c r="C194" s="1" t="str">
        <f aca="false">CONCATENATE(MID(A194,5,1000)," details to be created in the system")</f>
        <v>StepSplitTrackOutContext details to be created in the system</v>
      </c>
      <c r="D194" s="7" t="n">
        <f aca="false">IF(LEFT(Table2[[#This Row],[Tab Name]],1)="&lt;",D193+1,D193)</f>
        <v>134</v>
      </c>
    </row>
    <row r="195" customFormat="false" ht="15" hidden="false" customHeight="false" outlineLevel="0" collapsed="false">
      <c r="A195" s="1" t="s">
        <v>202</v>
      </c>
      <c r="B195" s="1" t="str">
        <f aca="false">IF(LEFT(Table2[[#This Row],[Tab Name]],4)="&lt;SM&gt;","Static Model",IF(LEFT(Table2[[#This Row],[Tab Name]],4)="&lt;DM&gt;","Dynamic Model",IF(LEFT(Table2[[#This Row],[Tab Name]],4)="&lt;ST&gt;","Smart Table",IF(LEFT(Table2[[#This Row],[Tab Name]],4)="&lt;GT&gt;","Generic Table",""))))</f>
        <v>Smart Table</v>
      </c>
      <c r="C195" s="1" t="str">
        <f aca="false">CONCATENATE(MID(A195,5,1000)," details to be created in the system")</f>
        <v>TimeConstraintsContext details to be created in the system</v>
      </c>
      <c r="D195" s="7" t="n">
        <f aca="false">IF(LEFT(Table2[[#This Row],[Tab Name]],1)="&lt;",D194+1,D194)</f>
        <v>135</v>
      </c>
    </row>
    <row r="196" customFormat="false" ht="15" hidden="false" customHeight="false" outlineLevel="0" collapsed="false">
      <c r="A196" s="1" t="s">
        <v>203</v>
      </c>
      <c r="B196" s="1" t="str">
        <f aca="false">IF(LEFT(Table2[[#This Row],[Tab Name]],4)="&lt;SM&gt;","Static Model",IF(LEFT(Table2[[#This Row],[Tab Name]],4)="&lt;DM&gt;","Dynamic Model",IF(LEFT(Table2[[#This Row],[Tab Name]],4)="&lt;ST&gt;","Smart Table",IF(LEFT(Table2[[#This Row],[Tab Name]],4)="&lt;GT&gt;","Generic Table",""))))</f>
        <v>Smart Table</v>
      </c>
      <c r="C196" s="1" t="str">
        <f aca="false">CONCATENATE(MID(A196,5,1000)," details to be created in the system")</f>
        <v>UIPageContext details to be created in the system</v>
      </c>
      <c r="D196" s="7" t="n">
        <f aca="false">IF(LEFT(Table2[[#This Row],[Tab Name]],1)="&lt;",D195+1,D195)</f>
        <v>136</v>
      </c>
    </row>
    <row r="197" customFormat="false" ht="15" hidden="false" customHeight="false" outlineLevel="0" collapsed="false">
      <c r="A197" s="1" t="s">
        <v>204</v>
      </c>
      <c r="B197" s="1" t="str">
        <f aca="false">IF(LEFT(Table2[[#This Row],[Tab Name]],4)="&lt;SM&gt;","Static Model",IF(LEFT(Table2[[#This Row],[Tab Name]],4)="&lt;DM&gt;","Dynamic Model",IF(LEFT(Table2[[#This Row],[Tab Name]],4)="&lt;ST&gt;","Smart Table",IF(LEFT(Table2[[#This Row],[Tab Name]],4)="&lt;GT&gt;","Generic Table",""))))</f>
        <v>Smart Table</v>
      </c>
      <c r="C197" s="1" t="str">
        <f aca="false">CONCATENATE(MID(A197,5,1000)," details to be created in the system")</f>
        <v>FactoryAutomationControllerVersionOverrideContext details to be created in the system</v>
      </c>
      <c r="D197" s="7" t="n">
        <f aca="false">IF(LEFT(Table2[[#This Row],[Tab Name]],1)="&lt;",D196+1,D196)</f>
        <v>137</v>
      </c>
    </row>
    <row r="198" customFormat="false" ht="15" hidden="false" customHeight="false" outlineLevel="0" collapsed="false">
      <c r="A198" s="1" t="s">
        <v>205</v>
      </c>
      <c r="B198" s="1" t="str">
        <f aca="false">IF(LEFT(Table2[[#This Row],[Tab Name]],4)="&lt;SM&gt;","Static Model",IF(LEFT(Table2[[#This Row],[Tab Name]],4)="&lt;DM&gt;","Dynamic Model",IF(LEFT(Table2[[#This Row],[Tab Name]],4)="&lt;ST&gt;","Smart Table",IF(LEFT(Table2[[#This Row],[Tab Name]],4)="&lt;GT&gt;","Generic Table",""))))</f>
        <v>Dynamic Model</v>
      </c>
      <c r="C198" s="1" t="str">
        <f aca="false">CONCATENATE(MID(A198,5,1000)," details to be created in the system")</f>
        <v>ProductionOrder details to be created in the system</v>
      </c>
      <c r="D198" s="7" t="n">
        <f aca="false">IF(LEFT(Table2[[#This Row],[Tab Name]],1)="&lt;",D197+1,D197)</f>
        <v>138</v>
      </c>
    </row>
    <row r="199" customFormat="false" ht="15" hidden="false" customHeight="false" outlineLevel="0" collapsed="false">
      <c r="A199" s="1" t="s">
        <v>206</v>
      </c>
      <c r="B199" s="1" t="str">
        <f aca="false">IF(LEFT(Table2[[#This Row],[Tab Name]],4)="&lt;SM&gt;","Static Model",IF(LEFT(Table2[[#This Row],[Tab Name]],4)="&lt;DM&gt;","Dynamic Model",IF(LEFT(Table2[[#This Row],[Tab Name]],4)="&lt;ST&gt;","Smart Table",IF(LEFT(Table2[[#This Row],[Tab Name]],4)="&lt;GT&gt;","Generic Table",""))))</f>
        <v/>
      </c>
      <c r="C199" s="1" t="str">
        <f aca="false">CONCATENATE(MID(A199,5,1000)," details to be created in the system")</f>
        <v>uctionOrderStep details to be created in the system</v>
      </c>
      <c r="D199" s="7" t="n">
        <f aca="false">IF(LEFT(Table2[[#This Row],[Tab Name]],1)="&lt;",D198+1,D198)</f>
        <v>138</v>
      </c>
    </row>
    <row r="200" customFormat="false" ht="15" hidden="false" customHeight="false" outlineLevel="0" collapsed="false">
      <c r="A200" s="1" t="s">
        <v>207</v>
      </c>
      <c r="B200" s="1" t="str">
        <f aca="false">IF(LEFT(Table2[[#This Row],[Tab Name]],4)="&lt;SM&gt;","Static Model",IF(LEFT(Table2[[#This Row],[Tab Name]],4)="&lt;DM&gt;","Dynamic Model",IF(LEFT(Table2[[#This Row],[Tab Name]],4)="&lt;ST&gt;","Smart Table",IF(LEFT(Table2[[#This Row],[Tab Name]],4)="&lt;GT&gt;","Generic Table",""))))</f>
        <v>Generic Table</v>
      </c>
      <c r="C200" s="1" t="str">
        <f aca="false">CONCATENATE(MID(A200,5,1000)," details to be created in the system")</f>
        <v>ContainerTypeRelation details to be created in the system</v>
      </c>
      <c r="D200" s="7" t="n">
        <f aca="false">IF(LEFT(Table2[[#This Row],[Tab Name]],1)="&lt;",D199+1,D199)</f>
        <v>139</v>
      </c>
    </row>
    <row r="201" customFormat="false" ht="15" hidden="false" customHeight="false" outlineLevel="0" collapsed="false">
      <c r="A201" s="1" t="s">
        <v>208</v>
      </c>
      <c r="B201" s="1" t="str">
        <f aca="false">IF(LEFT(Table2[[#This Row],[Tab Name]],4)="&lt;SM&gt;","Static Model",IF(LEFT(Table2[[#This Row],[Tab Name]],4)="&lt;DM&gt;","Dynamic Model",IF(LEFT(Table2[[#This Row],[Tab Name]],4)="&lt;ST&gt;","Smart Table",IF(LEFT(Table2[[#This Row],[Tab Name]],4)="&lt;GT&gt;","Generic Table",""))))</f>
        <v>Generic Table</v>
      </c>
      <c r="C201" s="1" t="str">
        <f aca="false">CONCATENATE(MID(A201,5,1000)," details to be created in the system")</f>
        <v>ContainerResourceRelation details to be created in the system</v>
      </c>
      <c r="D201" s="7" t="n">
        <f aca="false">IF(LEFT(Table2[[#This Row],[Tab Name]],1)="&lt;",D200+1,D200)</f>
        <v>140</v>
      </c>
    </row>
    <row r="202" customFormat="false" ht="15" hidden="false" customHeight="true" outlineLevel="0" collapsed="false">
      <c r="A202" s="1" t="s">
        <v>209</v>
      </c>
      <c r="B202" s="1" t="str">
        <f aca="false">IF(LEFT(Table2[[#This Row],[Tab Name]],4)="&lt;SM&gt;","Static Model",IF(LEFT(Table2[[#This Row],[Tab Name]],4)="&lt;DM&gt;","Dynamic Model",IF(LEFT(Table2[[#This Row],[Tab Name]],4)="&lt;ST&gt;","Smart Table",IF(LEFT(Table2[[#This Row],[Tab Name]],4)="&lt;GT&gt;","Generic Table",""))))</f>
        <v>Dynamic Model</v>
      </c>
      <c r="C202" s="1" t="str">
        <f aca="false">CONCATENATE(MID(A202,5,1000)," details to be created in the system")</f>
        <v>Container details to be created in the system</v>
      </c>
      <c r="D202" s="7" t="n">
        <f aca="false">IF(LEFT(Table2[[#This Row],[Tab Name]],1)="&lt;",D201+1,D201)</f>
        <v>141</v>
      </c>
    </row>
    <row r="203" customFormat="false" ht="15" hidden="false" customHeight="true" outlineLevel="0" collapsed="false">
      <c r="A203" s="1" t="s">
        <v>210</v>
      </c>
      <c r="B203" s="1" t="str">
        <f aca="false">IF(LEFT(Table2[[#This Row],[Tab Name]],4)="&lt;SM&gt;","Static Model",IF(LEFT(Table2[[#This Row],[Tab Name]],4)="&lt;DM&gt;","Dynamic Model",IF(LEFT(Table2[[#This Row],[Tab Name]],4)="&lt;ST&gt;","Smart Table",IF(LEFT(Table2[[#This Row],[Tab Name]],4)="&lt;GT&gt;","Generic Table",""))))</f>
        <v>Dynamic Model</v>
      </c>
      <c r="C203" s="1" t="str">
        <f aca="false">CONCATENATE(MID(A203,5,1000)," details to be created in the system")</f>
        <v>Material details to be created in the system</v>
      </c>
      <c r="D203" s="7" t="n">
        <f aca="false">IF(LEFT(Table2[[#This Row],[Tab Name]],1)="&lt;",D202+1,D202)</f>
        <v>142</v>
      </c>
    </row>
    <row r="204" customFormat="false" ht="15" hidden="false" customHeight="true" outlineLevel="0" collapsed="false">
      <c r="A204" s="1" t="s">
        <v>211</v>
      </c>
      <c r="B204" s="1" t="str">
        <f aca="false">IF(LEFT(Table2[[#This Row],[Tab Name]],4)="&lt;SM&gt;","Static Model",IF(LEFT(Table2[[#This Row],[Tab Name]],4)="&lt;DM&gt;","Dynamic Model",IF(LEFT(Table2[[#This Row],[Tab Name]],4)="&lt;ST&gt;","Smart Table",IF(LEFT(Table2[[#This Row],[Tab Name]],4)="&lt;GT&gt;","Generic Table",""))))</f>
        <v>Dynamic Model</v>
      </c>
      <c r="C204" s="1" t="str">
        <f aca="false">CONCATENATE(MID(A204,5,1000)," details to be created in the system")</f>
        <v>SendAheadRun details to be created in the system</v>
      </c>
      <c r="D204" s="7" t="n">
        <f aca="false">IF(LEFT(Table2[[#This Row],[Tab Name]],1)="&lt;",D203+1,D203)</f>
        <v>143</v>
      </c>
    </row>
    <row r="205" customFormat="false" ht="15" hidden="false" customHeight="true" outlineLevel="0" collapsed="false">
      <c r="A205" s="1" t="s">
        <v>212</v>
      </c>
      <c r="B205" s="1" t="str">
        <f aca="false">IF(LEFT(Table2[[#This Row],[Tab Name]],4)="&lt;SM&gt;","Static Model",IF(LEFT(Table2[[#This Row],[Tab Name]],4)="&lt;DM&gt;","Dynamic Model",IF(LEFT(Table2[[#This Row],[Tab Name]],4)="&lt;ST&gt;","Smart Table",IF(LEFT(Table2[[#This Row],[Tab Name]],4)="&lt;GT&gt;","Generic Table",""))))</f>
        <v/>
      </c>
      <c r="C205" s="1" t="str">
        <f aca="false">CONCATENATE(MID(A205,5,1000)," details to be created in the system")</f>
        <v>AheadRunMaterials details to be created in the system</v>
      </c>
      <c r="D205" s="7" t="n">
        <f aca="false">IF(LEFT(Table2[[#This Row],[Tab Name]],1)="&lt;",D204+1,D204)</f>
        <v>143</v>
      </c>
    </row>
    <row r="206" customFormat="false" ht="15" hidden="false" customHeight="true" outlineLevel="0" collapsed="false">
      <c r="A206" s="1" t="s">
        <v>213</v>
      </c>
      <c r="B206" s="1" t="str">
        <f aca="false">IF(LEFT(Table2[[#This Row],[Tab Name]],4)="&lt;SM&gt;","Static Model",IF(LEFT(Table2[[#This Row],[Tab Name]],4)="&lt;DM&gt;","Dynamic Model",IF(LEFT(Table2[[#This Row],[Tab Name]],4)="&lt;ST&gt;","Smart Table",IF(LEFT(Table2[[#This Row],[Tab Name]],4)="&lt;GT&gt;","Generic Table",""))))</f>
        <v/>
      </c>
      <c r="C206" s="1" t="str">
        <f aca="false">CONCATENATE(MID(A206,5,1000)," details to be created in the system")</f>
        <v>StepFutureActions details to be created in the system</v>
      </c>
      <c r="D206" s="7" t="n">
        <f aca="false">IF(LEFT(Table2[[#This Row],[Tab Name]],1)="&lt;",D205+1,D205)</f>
        <v>144</v>
      </c>
    </row>
    <row r="207" customFormat="false" ht="15" hidden="false" customHeight="true" outlineLevel="0" collapsed="false">
      <c r="A207" s="1" t="s">
        <v>214</v>
      </c>
      <c r="B207" s="1" t="str">
        <f aca="false">IF(LEFT(Table2[[#This Row],[Tab Name]],4)="&lt;SM&gt;","Static Model",IF(LEFT(Table2[[#This Row],[Tab Name]],4)="&lt;DM&gt;","Dynamic Model",IF(LEFT(Table2[[#This Row],[Tab Name]],4)="&lt;ST&gt;","Smart Table",IF(LEFT(Table2[[#This Row],[Tab Name]],4)="&lt;GT&gt;","Generic Table",""))))</f>
        <v>Dynamic Model</v>
      </c>
      <c r="C207" s="1" t="str">
        <f aca="false">CONCATENATE(MID(A207,5,1000)," details to be created in the system")</f>
        <v>FutureAction details to be created in the system</v>
      </c>
      <c r="D207" s="7" t="n">
        <f aca="false">IF(LEFT(Table2[[#This Row],[Tab Name]],1)="&lt;",D206+1,D206)</f>
        <v>145</v>
      </c>
    </row>
    <row r="208" customFormat="false" ht="15" hidden="false" customHeight="true" outlineLevel="0" collapsed="false">
      <c r="A208" s="1" t="s">
        <v>215</v>
      </c>
      <c r="B208" s="1" t="str">
        <f aca="false">IF(LEFT(Table2[[#This Row],[Tab Name]],4)="&lt;SM&gt;","Static Model",IF(LEFT(Table2[[#This Row],[Tab Name]],4)="&lt;DM&gt;","Dynamic Model",IF(LEFT(Table2[[#This Row],[Tab Name]],4)="&lt;ST&gt;","Smart Table",IF(LEFT(Table2[[#This Row],[Tab Name]],4)="&lt;GT&gt;","Generic Table",""))))</f>
        <v>Dynamic Model</v>
      </c>
      <c r="C208" s="1" t="str">
        <f aca="false">CONCATENATE(MID(A208,5,1000)," details to be created in the system")</f>
        <v>ExperimentDefinition details to be created in the system</v>
      </c>
      <c r="D208" s="7" t="n">
        <f aca="false">IF(LEFT(Table2[[#This Row],[Tab Name]],1)="&lt;",D207+1,D207)</f>
        <v>146</v>
      </c>
    </row>
    <row r="209" customFormat="false" ht="15" hidden="false" customHeight="true" outlineLevel="0" collapsed="false">
      <c r="A209" s="1" t="s">
        <v>216</v>
      </c>
      <c r="B209" s="1" t="str">
        <f aca="false">IF(LEFT(Table2[[#This Row],[Tab Name]],4)="&lt;SM&gt;","Static Model",IF(LEFT(Table2[[#This Row],[Tab Name]],4)="&lt;DM&gt;","Dynamic Model",IF(LEFT(Table2[[#This Row],[Tab Name]],4)="&lt;ST&gt;","Smart Table",IF(LEFT(Table2[[#This Row],[Tab Name]],4)="&lt;GT&gt;","Generic Table",""))))</f>
        <v/>
      </c>
      <c r="C209" s="1" t="str">
        <f aca="false">CONCATENATE(MID(A209,5,1000)," details to be created in the system")</f>
        <v>rimentDefinitionSteps details to be created in the system</v>
      </c>
      <c r="D209" s="7" t="n">
        <f aca="false">IF(LEFT(Table2[[#This Row],[Tab Name]],1)="&lt;",D208+1,D208)</f>
        <v>146</v>
      </c>
    </row>
    <row r="210" customFormat="false" ht="15" hidden="false" customHeight="true" outlineLevel="0" collapsed="false">
      <c r="A210" s="1" t="s">
        <v>217</v>
      </c>
      <c r="B210" s="1" t="str">
        <f aca="false">IF(LEFT(Table2[[#This Row],[Tab Name]],4)="&lt;SM&gt;","Static Model",IF(LEFT(Table2[[#This Row],[Tab Name]],4)="&lt;DM&gt;","Dynamic Model",IF(LEFT(Table2[[#This Row],[Tab Name]],4)="&lt;ST&gt;","Smart Table",IF(LEFT(Table2[[#This Row],[Tab Name]],4)="&lt;GT&gt;","Generic Table",""))))</f>
        <v>Generic Table</v>
      </c>
      <c r="C210" s="1" t="str">
        <f aca="false">CONCATENATE(MID(A210,5,1000)," details to be created in the system")</f>
        <v>NotificationSeverity details to be created in the system</v>
      </c>
      <c r="D210" s="7" t="n">
        <f aca="false">IF(LEFT(Table2[[#This Row],[Tab Name]],1)="&lt;",D209+1,D209)</f>
        <v>147</v>
      </c>
    </row>
    <row r="211" customFormat="false" ht="15" hidden="false" customHeight="true" outlineLevel="0" collapsed="false">
      <c r="A211" s="1" t="s">
        <v>218</v>
      </c>
      <c r="B211" s="1" t="str">
        <f aca="false">IF(LEFT(Table2[[#This Row],[Tab Name]],4)="&lt;SM&gt;","Static Model",IF(LEFT(Table2[[#This Row],[Tab Name]],4)="&lt;DM&gt;","Dynamic Model",IF(LEFT(Table2[[#This Row],[Tab Name]],4)="&lt;ST&gt;","Smart Table",IF(LEFT(Table2[[#This Row],[Tab Name]],4)="&lt;GT&gt;","Generic Table",""))))</f>
        <v>Dynamic Model</v>
      </c>
      <c r="C211" s="1" t="str">
        <f aca="false">CONCATENATE(MID(A211,5,1000)," details to be created in the system")</f>
        <v>Notification details to be created in the system</v>
      </c>
      <c r="D211" s="7" t="n">
        <f aca="false">IF(LEFT(Table2[[#This Row],[Tab Name]],1)="&lt;",D210+1,D210)</f>
        <v>148</v>
      </c>
    </row>
    <row r="212" customFormat="false" ht="15" hidden="false" customHeight="true" outlineLevel="0" collapsed="false">
      <c r="A212" s="1" t="s">
        <v>219</v>
      </c>
      <c r="B212" s="1" t="str">
        <f aca="false">IF(LEFT(Table2[[#This Row],[Tab Name]],4)="&lt;SM&gt;","Static Model",IF(LEFT(Table2[[#This Row],[Tab Name]],4)="&lt;DM&gt;","Dynamic Model",IF(LEFT(Table2[[#This Row],[Tab Name]],4)="&lt;ST&gt;","Smart Table",IF(LEFT(Table2[[#This Row],[Tab Name]],4)="&lt;GT&gt;","Generic Table",""))))</f>
        <v>Dynamic Model</v>
      </c>
      <c r="C212" s="1" t="str">
        <f aca="false">CONCATENATE(MID(A212,5,1000)," details to be created in the system")</f>
        <v>MapDefinition details to be created in the system</v>
      </c>
      <c r="D212" s="7" t="n">
        <f aca="false">IF(LEFT(Table2[[#This Row],[Tab Name]],1)="&lt;",D211+1,D211)</f>
        <v>149</v>
      </c>
    </row>
    <row r="213" customFormat="false" ht="15" hidden="false" customHeight="true" outlineLevel="0" collapsed="false">
      <c r="A213" s="1" t="s">
        <v>220</v>
      </c>
      <c r="B213" s="1" t="str">
        <f aca="false">IF(LEFT(Table2[[#This Row],[Tab Name]],4)="&lt;SM&gt;","Static Model",IF(LEFT(Table2[[#This Row],[Tab Name]],4)="&lt;DM&gt;","Dynamic Model",IF(LEFT(Table2[[#This Row],[Tab Name]],4)="&lt;ST&gt;","Smart Table",IF(LEFT(Table2[[#This Row],[Tab Name]],4)="&lt;GT&gt;","Generic Table",""))))</f>
        <v/>
      </c>
      <c r="C213" s="1" t="str">
        <f aca="false">CONCATENATE(MID(A213,5,1000)," details to be created in the system")</f>
        <v>efinitionLayers details to be created in the system</v>
      </c>
      <c r="D213" s="7" t="n">
        <f aca="false">IF(LEFT(Table2[[#This Row],[Tab Name]],1)="&lt;",D212+1,D212)</f>
        <v>149</v>
      </c>
    </row>
    <row r="214" customFormat="false" ht="15" hidden="false" customHeight="true" outlineLevel="0" collapsed="false">
      <c r="A214" s="1" t="s">
        <v>221</v>
      </c>
      <c r="B214" s="1" t="str">
        <f aca="false">IF(LEFT(Table2[[#This Row],[Tab Name]],4)="&lt;SM&gt;","Static Model",IF(LEFT(Table2[[#This Row],[Tab Name]],4)="&lt;DM&gt;","Dynamic Model",IF(LEFT(Table2[[#This Row],[Tab Name]],4)="&lt;ST&gt;","Smart Table",IF(LEFT(Table2[[#This Row],[Tab Name]],4)="&lt;GT&gt;","Generic Table",""))))</f>
        <v>Dynamic Model</v>
      </c>
      <c r="C214" s="1" t="str">
        <f aca="false">CONCATENATE(MID(A214,5,1000)," details to be created in the system")</f>
        <v>Map details to be created in the system</v>
      </c>
      <c r="D214" s="7" t="n">
        <f aca="false">IF(LEFT(Table2[[#This Row],[Tab Name]],1)="&lt;",D213+1,D213)</f>
        <v>150</v>
      </c>
    </row>
    <row r="215" customFormat="false" ht="15" hidden="false" customHeight="true" outlineLevel="0" collapsed="false">
      <c r="A215" s="1" t="s">
        <v>222</v>
      </c>
      <c r="B215" s="1" t="str">
        <f aca="false">IF(LEFT(Table2[[#This Row],[Tab Name]],4)="&lt;SM&gt;","Static Model",IF(LEFT(Table2[[#This Row],[Tab Name]],4)="&lt;DM&gt;","Dynamic Model",IF(LEFT(Table2[[#This Row],[Tab Name]],4)="&lt;ST&gt;","Smart Table",IF(LEFT(Table2[[#This Row],[Tab Name]],4)="&lt;GT&gt;","Generic Table",""))))</f>
        <v>Dynamic Model</v>
      </c>
      <c r="C215" s="1" t="str">
        <f aca="false">CONCATENATE(MID(A215,5,1000)," details to be created in the system")</f>
        <v>AutomationManager details to be created in the system</v>
      </c>
      <c r="D215" s="7" t="n">
        <f aca="false">IF(LEFT(Table2[[#This Row],[Tab Name]],1)="&lt;",D214+1,D214)</f>
        <v>151</v>
      </c>
    </row>
    <row r="216" customFormat="false" ht="15" hidden="false" customHeight="true" outlineLevel="0" collapsed="false">
      <c r="A216" s="1" t="s">
        <v>223</v>
      </c>
      <c r="B216" s="1" t="str">
        <f aca="false">IF(LEFT(Table2[[#This Row],[Tab Name]],4)="&lt;SM&gt;","Static Model",IF(LEFT(Table2[[#This Row],[Tab Name]],4)="&lt;DM&gt;","Dynamic Model",IF(LEFT(Table2[[#This Row],[Tab Name]],4)="&lt;ST&gt;","Smart Table",IF(LEFT(Table2[[#This Row],[Tab Name]],4)="&lt;GT&gt;","Generic Table",""))))</f>
        <v>Dynamic Model</v>
      </c>
      <c r="C216" s="1" t="str">
        <f aca="false">CONCATENATE(MID(A216,5,1000)," details to be created in the system")</f>
        <v>AutomationProtocol details to be created in the system</v>
      </c>
      <c r="D216" s="7" t="n">
        <f aca="false">IF(LEFT(Table2[[#This Row],[Tab Name]],1)="&lt;",D215+1,D215)</f>
        <v>152</v>
      </c>
    </row>
    <row r="217" customFormat="false" ht="15" hidden="false" customHeight="true" outlineLevel="0" collapsed="false">
      <c r="A217" s="1" t="s">
        <v>224</v>
      </c>
      <c r="B217" s="1" t="str">
        <f aca="false">IF(LEFT(Table2[[#This Row],[Tab Name]],4)="&lt;SM&gt;","Static Model",IF(LEFT(Table2[[#This Row],[Tab Name]],4)="&lt;DM&gt;","Dynamic Model",IF(LEFT(Table2[[#This Row],[Tab Name]],4)="&lt;ST&gt;","Smart Table",IF(LEFT(Table2[[#This Row],[Tab Name]],4)="&lt;GT&gt;","Generic Table",""))))</f>
        <v/>
      </c>
      <c r="C217" s="1" t="str">
        <f aca="false">CONCATENATE(MID(A217,5,1000)," details to be created in the system")</f>
        <v>mationProtocolParameter details to be created in the system</v>
      </c>
      <c r="D217" s="7" t="n">
        <f aca="false">IF(LEFT(Table2[[#This Row],[Tab Name]],1)="&lt;",D216+1,D216)</f>
        <v>152</v>
      </c>
    </row>
    <row r="218" customFormat="false" ht="15" hidden="false" customHeight="true" outlineLevel="0" collapsed="false">
      <c r="A218" s="1" t="s">
        <v>225</v>
      </c>
      <c r="B218" s="1" t="str">
        <f aca="false">IF(LEFT(Table2[[#This Row],[Tab Name]],4)="&lt;SM&gt;","Static Model",IF(LEFT(Table2[[#This Row],[Tab Name]],4)="&lt;DM&gt;","Dynamic Model",IF(LEFT(Table2[[#This Row],[Tab Name]],4)="&lt;ST&gt;","Smart Table",IF(LEFT(Table2[[#This Row],[Tab Name]],4)="&lt;GT&gt;","Generic Table",""))))</f>
        <v>Dynamic Model</v>
      </c>
      <c r="C218" s="1" t="str">
        <f aca="false">CONCATENATE(MID(A218,5,1000)," details to be created in the system")</f>
        <v>AutomationDriverDefinition details to be created in the system</v>
      </c>
      <c r="D218" s="7" t="n">
        <f aca="false">IF(LEFT(Table2[[#This Row],[Tab Name]],1)="&lt;",D217+1,D217)</f>
        <v>153</v>
      </c>
    </row>
    <row r="219" customFormat="false" ht="15" hidden="false" customHeight="true" outlineLevel="0" collapsed="false">
      <c r="A219" s="1" t="s">
        <v>226</v>
      </c>
      <c r="B219" s="1" t="str">
        <f aca="false">IF(LEFT(Table2[[#This Row],[Tab Name]],4)="&lt;SM&gt;","Static Model",IF(LEFT(Table2[[#This Row],[Tab Name]],4)="&lt;DM&gt;","Dynamic Model",IF(LEFT(Table2[[#This Row],[Tab Name]],4)="&lt;ST&gt;","Smart Table",IF(LEFT(Table2[[#This Row],[Tab Name]],4)="&lt;GT&gt;","Generic Table",""))))</f>
        <v/>
      </c>
      <c r="C219" s="1" t="str">
        <f aca="false">CONCATENATE(MID(A219,5,1000)," details to be created in the system")</f>
        <v>mationProperty details to be created in the system</v>
      </c>
      <c r="D219" s="7" t="n">
        <f aca="false">IF(LEFT(Table2[[#This Row],[Tab Name]],1)="&lt;",D218+1,D218)</f>
        <v>153</v>
      </c>
    </row>
    <row r="220" customFormat="false" ht="15" hidden="false" customHeight="true" outlineLevel="0" collapsed="false">
      <c r="A220" s="1" t="s">
        <v>227</v>
      </c>
      <c r="B220" s="1" t="str">
        <f aca="false">IF(LEFT(Table2[[#This Row],[Tab Name]],4)="&lt;SM&gt;","Static Model",IF(LEFT(Table2[[#This Row],[Tab Name]],4)="&lt;DM&gt;","Dynamic Model",IF(LEFT(Table2[[#This Row],[Tab Name]],4)="&lt;ST&gt;","Smart Table",IF(LEFT(Table2[[#This Row],[Tab Name]],4)="&lt;GT&gt;","Generic Table",""))))</f>
        <v/>
      </c>
      <c r="C220" s="1" t="str">
        <f aca="false">CONCATENATE(MID(A220,5,1000)," details to be created in the system")</f>
        <v>mationEvent details to be created in the system</v>
      </c>
      <c r="D220" s="7" t="n">
        <f aca="false">IF(LEFT(Table2[[#This Row],[Tab Name]],1)="&lt;",D219+1,D219)</f>
        <v>153</v>
      </c>
    </row>
    <row r="221" customFormat="false" ht="15" hidden="false" customHeight="true" outlineLevel="0" collapsed="false">
      <c r="A221" s="1" t="s">
        <v>228</v>
      </c>
      <c r="B221" s="1" t="str">
        <f aca="false">IF(LEFT(Table2[[#This Row],[Tab Name]],4)="&lt;SM&gt;","Static Model",IF(LEFT(Table2[[#This Row],[Tab Name]],4)="&lt;DM&gt;","Dynamic Model",IF(LEFT(Table2[[#This Row],[Tab Name]],4)="&lt;ST&gt;","Smart Table",IF(LEFT(Table2[[#This Row],[Tab Name]],4)="&lt;GT&gt;","Generic Table",""))))</f>
        <v/>
      </c>
      <c r="C221" s="1" t="str">
        <f aca="false">CONCATENATE(MID(A221,5,1000)," details to be created in the system")</f>
        <v>mationEventProperties details to be created in the system</v>
      </c>
      <c r="D221" s="7" t="n">
        <f aca="false">IF(LEFT(Table2[[#This Row],[Tab Name]],1)="&lt;",D220+1,D220)</f>
        <v>153</v>
      </c>
    </row>
    <row r="222" customFormat="false" ht="15" hidden="false" customHeight="true" outlineLevel="0" collapsed="false">
      <c r="A222" s="1" t="s">
        <v>229</v>
      </c>
      <c r="B222" s="1" t="str">
        <f aca="false">IF(LEFT(Table2[[#This Row],[Tab Name]],4)="&lt;SM&gt;","Static Model",IF(LEFT(Table2[[#This Row],[Tab Name]],4)="&lt;DM&gt;","Dynamic Model",IF(LEFT(Table2[[#This Row],[Tab Name]],4)="&lt;ST&gt;","Smart Table",IF(LEFT(Table2[[#This Row],[Tab Name]],4)="&lt;GT&gt;","Generic Table",""))))</f>
        <v/>
      </c>
      <c r="C222" s="1" t="str">
        <f aca="false">CONCATENATE(MID(A222,5,1000)," details to be created in the system")</f>
        <v>mationCommand details to be created in the system</v>
      </c>
      <c r="D222" s="7" t="n">
        <f aca="false">IF(LEFT(Table2[[#This Row],[Tab Name]],1)="&lt;",D221+1,D221)</f>
        <v>153</v>
      </c>
    </row>
    <row r="223" customFormat="false" ht="15" hidden="false" customHeight="true" outlineLevel="0" collapsed="false">
      <c r="A223" s="1" t="s">
        <v>230</v>
      </c>
      <c r="B223" s="1" t="str">
        <f aca="false">IF(LEFT(Table2[[#This Row],[Tab Name]],4)="&lt;SM&gt;","Static Model",IF(LEFT(Table2[[#This Row],[Tab Name]],4)="&lt;DM&gt;","Dynamic Model",IF(LEFT(Table2[[#This Row],[Tab Name]],4)="&lt;ST&gt;","Smart Table",IF(LEFT(Table2[[#This Row],[Tab Name]],4)="&lt;GT&gt;","Generic Table",""))))</f>
        <v/>
      </c>
      <c r="C223" s="1" t="str">
        <f aca="false">CONCATENATE(MID(A223,5,1000)," details to be created in the system")</f>
        <v>mationCommandParameter details to be created in the system</v>
      </c>
      <c r="D223" s="7" t="n">
        <f aca="false">IF(LEFT(Table2[[#This Row],[Tab Name]],1)="&lt;",D222+1,D222)</f>
        <v>153</v>
      </c>
    </row>
    <row r="224" customFormat="false" ht="15" hidden="false" customHeight="true" outlineLevel="0" collapsed="false">
      <c r="A224" s="1" t="s">
        <v>231</v>
      </c>
      <c r="B224" s="1" t="str">
        <f aca="false">IF(LEFT(Table2[[#This Row],[Tab Name]],4)="&lt;SM&gt;","Static Model",IF(LEFT(Table2[[#This Row],[Tab Name]],4)="&lt;DM&gt;","Dynamic Model",IF(LEFT(Table2[[#This Row],[Tab Name]],4)="&lt;ST&gt;","Smart Table",IF(LEFT(Table2[[#This Row],[Tab Name]],4)="&lt;GT&gt;","Generic Table",""))))</f>
        <v>Dynamic Model</v>
      </c>
      <c r="C224" s="1" t="str">
        <f aca="false">CONCATENATE(MID(A224,5,1000)," details to be created in the system")</f>
        <v>AutomationController details to be created in the system</v>
      </c>
      <c r="D224" s="7" t="n">
        <f aca="false">IF(LEFT(Table2[[#This Row],[Tab Name]],1)="&lt;",D223+1,D223)</f>
        <v>154</v>
      </c>
    </row>
    <row r="225" customFormat="false" ht="15" hidden="false" customHeight="true" outlineLevel="0" collapsed="false">
      <c r="A225" s="1" t="s">
        <v>232</v>
      </c>
      <c r="B225" s="1" t="str">
        <f aca="false">IF(LEFT(Table2[[#This Row],[Tab Name]],4)="&lt;SM&gt;","Static Model",IF(LEFT(Table2[[#This Row],[Tab Name]],4)="&lt;DM&gt;","Dynamic Model",IF(LEFT(Table2[[#This Row],[Tab Name]],4)="&lt;ST&gt;","Smart Table",IF(LEFT(Table2[[#This Row],[Tab Name]],4)="&lt;GT&gt;","Generic Table",""))))</f>
        <v/>
      </c>
      <c r="C225" s="1" t="str">
        <f aca="false">CONCATENATE(MID(A225,5,1000)," details to be created in the system")</f>
        <v>mationControllerDriverDef details to be created in the system</v>
      </c>
      <c r="D225" s="7" t="n">
        <f aca="false">IF(LEFT(Table2[[#This Row],[Tab Name]],1)="&lt;",D224+1,D224)</f>
        <v>154</v>
      </c>
    </row>
    <row r="226" customFormat="false" ht="15" hidden="false" customHeight="true" outlineLevel="0" collapsed="false">
      <c r="A226" s="1" t="s">
        <v>233</v>
      </c>
      <c r="B226" s="1" t="str">
        <f aca="false">IF(LEFT(Table2[[#This Row],[Tab Name]],4)="&lt;SM&gt;","Static Model",IF(LEFT(Table2[[#This Row],[Tab Name]],4)="&lt;DM&gt;","Dynamic Model",IF(LEFT(Table2[[#This Row],[Tab Name]],4)="&lt;ST&gt;","Smart Table",IF(LEFT(Table2[[#This Row],[Tab Name]],4)="&lt;GT&gt;","Generic Table",""))))</f>
        <v/>
      </c>
      <c r="C226" s="1" t="str">
        <f aca="false">CONCATENATE(MID(A226,5,1000)," details to be created in the system")</f>
        <v>mationControllerIoTEventDef details to be created in the system</v>
      </c>
      <c r="D226" s="7" t="n">
        <f aca="false">IF(LEFT(Table2[[#This Row],[Tab Name]],1)="&lt;",D225+1,D225)</f>
        <v>154</v>
      </c>
    </row>
    <row r="227" customFormat="false" ht="15" hidden="false" customHeight="true" outlineLevel="0" collapsed="false">
      <c r="A227" s="1" t="s">
        <v>234</v>
      </c>
      <c r="B227" s="1" t="str">
        <f aca="false">IF(LEFT(Table2[[#This Row],[Tab Name]],4)="&lt;SM&gt;","Static Model",IF(LEFT(Table2[[#This Row],[Tab Name]],4)="&lt;DM&gt;","Dynamic Model",IF(LEFT(Table2[[#This Row],[Tab Name]],4)="&lt;ST&gt;","Smart Table",IF(LEFT(Table2[[#This Row],[Tab Name]],4)="&lt;GT&gt;","Generic Table",""))))</f>
        <v/>
      </c>
      <c r="C227" s="1" t="str">
        <f aca="false">CONCATENATE(MID(A227,5,1000)," details to be created in the system")</f>
        <v>mationControllerWorkflow details to be created in the system</v>
      </c>
      <c r="D227" s="7" t="n">
        <f aca="false">IF(LEFT(Table2[[#This Row],[Tab Name]],1)="&lt;",D226+1,D226)</f>
        <v>154</v>
      </c>
    </row>
    <row r="228" customFormat="false" ht="15" hidden="false" customHeight="true" outlineLevel="0" collapsed="false">
      <c r="A228" s="1" t="s">
        <v>235</v>
      </c>
      <c r="B228" s="1" t="str">
        <f aca="false">IF(LEFT(Table2[[#This Row],[Tab Name]],4)="&lt;SM&gt;","Static Model",IF(LEFT(Table2[[#This Row],[Tab Name]],4)="&lt;DM&gt;","Dynamic Model",IF(LEFT(Table2[[#This Row],[Tab Name]],4)="&lt;ST&gt;","Smart Table",IF(LEFT(Table2[[#This Row],[Tab Name]],4)="&lt;GT&gt;","Generic Table",""))))</f>
        <v>Dynamic Model</v>
      </c>
      <c r="C228" s="1" t="str">
        <f aca="false">CONCATENATE(MID(A228,5,1000)," details to be created in the system")</f>
        <v>AutomationInstance details to be created in the system</v>
      </c>
      <c r="D228" s="7" t="n">
        <f aca="false">IF(LEFT(Table2[[#This Row],[Tab Name]],1)="&lt;",D227+1,D227)</f>
        <v>155</v>
      </c>
    </row>
    <row r="229" customFormat="false" ht="15" hidden="false" customHeight="true" outlineLevel="0" collapsed="false">
      <c r="A229" s="1" t="s">
        <v>236</v>
      </c>
      <c r="B229" s="1" t="str">
        <f aca="false">IF(LEFT(Table2[[#This Row],[Tab Name]],4)="&lt;SM&gt;","Static Model",IF(LEFT(Table2[[#This Row],[Tab Name]],4)="&lt;DM&gt;","Dynamic Model",IF(LEFT(Table2[[#This Row],[Tab Name]],4)="&lt;ST&gt;","Smart Table",IF(LEFT(Table2[[#This Row],[Tab Name]],4)="&lt;GT&gt;","Generic Table",""))))</f>
        <v>Dynamic Model</v>
      </c>
      <c r="C229" s="1" t="str">
        <f aca="false">CONCATENATE(MID(A229,5,1000)," details to be created in the system")</f>
        <v>IoTEventDefinition details to be created in the system</v>
      </c>
      <c r="D229" s="7" t="n">
        <f aca="false">IF(LEFT(Table2[[#This Row],[Tab Name]],1)="&lt;",D228+1,D228)</f>
        <v>156</v>
      </c>
    </row>
    <row r="230" customFormat="false" ht="15" hidden="false" customHeight="true" outlineLevel="0" collapsed="false">
      <c r="A230" s="1" t="s">
        <v>237</v>
      </c>
      <c r="B230" s="1" t="str">
        <f aca="false">IF(LEFT(Table2[[#This Row],[Tab Name]],4)="&lt;SM&gt;","Static Model",IF(LEFT(Table2[[#This Row],[Tab Name]],4)="&lt;DM&gt;","Dynamic Model",IF(LEFT(Table2[[#This Row],[Tab Name]],4)="&lt;ST&gt;","Smart Table",IF(LEFT(Table2[[#This Row],[Tab Name]],4)="&lt;GT&gt;","Generic Table",""))))</f>
        <v/>
      </c>
      <c r="C230" s="1" t="str">
        <f aca="false">CONCATENATE(MID(A230,5,1000)," details to be created in the system")</f>
        <v>chemaProperties details to be created in the system</v>
      </c>
      <c r="D230" s="7" t="n">
        <f aca="false">IF(LEFT(Table2[[#This Row],[Tab Name]],1)="&lt;",D229+1,D229)</f>
        <v>156</v>
      </c>
    </row>
    <row r="231" customFormat="false" ht="15" hidden="false" customHeight="true" outlineLevel="0" collapsed="false">
      <c r="B231" s="2"/>
    </row>
    <row r="232" customFormat="false" ht="15" hidden="false" customHeight="true" outlineLevel="0" collapsed="false">
      <c r="B232" s="2"/>
    </row>
    <row r="233" customFormat="false" ht="15" hidden="false" customHeight="true" outlineLevel="0" collapsed="false">
      <c r="B233" s="2"/>
    </row>
    <row r="234" customFormat="false" ht="15" hidden="false" customHeight="true" outlineLevel="0" collapsed="false">
      <c r="B234" s="2"/>
    </row>
    <row r="235" customFormat="false" ht="15" hidden="false" customHeight="true" outlineLevel="0" collapsed="false">
      <c r="B235" s="2"/>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C19"/>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C13" activeCellId="0" sqref="C13"/>
    </sheetView>
  </sheetViews>
  <sheetFormatPr defaultColWidth="9.36328125" defaultRowHeight="14.25" customHeight="false" zeroHeight="false" outlineLevelRow="0" outlineLevelCol="0"/>
  <cols>
    <col collapsed="false" customWidth="true" hidden="false" outlineLevel="0" max="1" min="1" style="10" width="17.45"/>
    <col collapsed="false" customWidth="true" hidden="false" outlineLevel="0" max="2" min="2" style="10" width="15.54"/>
    <col collapsed="false" customWidth="true" hidden="false" outlineLevel="0" max="3" min="3" style="10" width="16"/>
    <col collapsed="false" customWidth="false" hidden="false" outlineLevel="0" max="16384" min="4" style="10" width="9.36"/>
  </cols>
  <sheetData>
    <row r="1" customFormat="false" ht="14.25" hidden="false" customHeight="false" outlineLevel="0" collapsed="false">
      <c r="A1" s="11" t="s">
        <v>238</v>
      </c>
      <c r="B1" s="11" t="s">
        <v>239</v>
      </c>
      <c r="C1" s="11" t="s">
        <v>240</v>
      </c>
    </row>
    <row r="2" s="12" customFormat="true" ht="14.25" hidden="false" customHeight="false" outlineLevel="0" collapsed="false">
      <c r="A2" s="12" t="s">
        <v>241</v>
      </c>
      <c r="B2" s="12" t="s">
        <v>242</v>
      </c>
      <c r="C2" s="12" t="s">
        <v>243</v>
      </c>
    </row>
    <row r="3" s="12" customFormat="true" ht="14.25" hidden="false" customHeight="false" outlineLevel="0" collapsed="false"/>
    <row r="4" s="12" customFormat="true" ht="14.25" hidden="false" customHeight="false" outlineLevel="0" collapsed="false"/>
    <row r="5" s="12" customFormat="true" ht="14.25" hidden="false" customHeight="false" outlineLevel="0" collapsed="false"/>
    <row r="6" s="12" customFormat="true" ht="14.25" hidden="false" customHeight="false" outlineLevel="0" collapsed="false"/>
    <row r="7" s="12" customFormat="true" ht="14.25" hidden="false" customHeight="false" outlineLevel="0" collapsed="false"/>
    <row r="8" s="12" customFormat="true" ht="14.25" hidden="false" customHeight="false" outlineLevel="0" collapsed="false"/>
    <row r="9" s="12" customFormat="true" ht="14.25" hidden="false" customHeight="false" outlineLevel="0" collapsed="false"/>
    <row r="10" s="12" customFormat="true" ht="14.25" hidden="false" customHeight="false" outlineLevel="0" collapsed="false"/>
    <row r="11" s="12" customFormat="true" ht="14.25" hidden="false" customHeight="false" outlineLevel="0" collapsed="false"/>
    <row r="12" s="12" customFormat="true" ht="14.25" hidden="false" customHeight="false" outlineLevel="0" collapsed="false"/>
    <row r="13" s="12" customFormat="true" ht="14.25" hidden="false" customHeight="false" outlineLevel="0" collapsed="false"/>
    <row r="14" s="12" customFormat="true" ht="14.25" hidden="false" customHeight="false" outlineLevel="0" collapsed="false"/>
    <row r="15" s="12" customFormat="true" ht="14.25" hidden="false" customHeight="false" outlineLevel="0" collapsed="false"/>
    <row r="16" s="12" customFormat="true" ht="14.25" hidden="false" customHeight="false" outlineLevel="0" collapsed="false"/>
    <row r="17" s="12" customFormat="true" ht="14.25" hidden="false" customHeight="false" outlineLevel="0" collapsed="false"/>
    <row r="18" s="12" customFormat="true" ht="14.25" hidden="false" customHeight="false" outlineLevel="0" collapsed="false"/>
    <row r="19" s="12" customFormat="true" ht="14.25" hidden="false" customHeight="false" outlineLevel="0" collapsed="false"/>
  </sheetData>
  <dataValidations count="2">
    <dataValidation allowBlank="true" errorStyle="stop" operator="between" showDropDown="false" showErrorMessage="true" showInputMessage="true" sqref="B2" type="list">
      <formula1>"Optional,Yes,No"</formula1>
      <formula2>0</formula2>
    </dataValidation>
    <dataValidation allowBlank="true" errorStyle="stop" operator="between" showDropDown="false" showErrorMessage="true" showInputMessage="true" sqref="C2" type="list">
      <formula1>"Create Version,Create Revision"</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D19"/>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pane xSplit="0" ySplit="1" topLeftCell="A16" activePane="bottomLeft" state="frozen"/>
      <selection pane="topLeft" activeCell="C1" activeCellId="0" sqref="C1"/>
      <selection pane="bottomLeft" activeCell="D12" activeCellId="0" sqref="D12"/>
    </sheetView>
  </sheetViews>
  <sheetFormatPr defaultColWidth="9.36328125" defaultRowHeight="15" customHeight="true" zeroHeight="false" outlineLevelRow="0" outlineLevelCol="0"/>
  <cols>
    <col collapsed="false" customWidth="true" hidden="false" outlineLevel="0" max="1" min="1" style="10" width="23.63"/>
    <col collapsed="false" customWidth="true" hidden="false" outlineLevel="0" max="2" min="2" style="10" width="26.54"/>
    <col collapsed="false" customWidth="true" hidden="false" outlineLevel="0" max="3" min="3" style="10" width="78.54"/>
    <col collapsed="false" customWidth="true" hidden="false" outlineLevel="0" max="4" min="4" style="10" width="96"/>
    <col collapsed="false" customWidth="false" hidden="false" outlineLevel="0" max="16384" min="5" style="10" width="9.36"/>
  </cols>
  <sheetData>
    <row r="1" customFormat="false" ht="15" hidden="false" customHeight="true" outlineLevel="0" collapsed="false">
      <c r="A1" s="13" t="s">
        <v>244</v>
      </c>
      <c r="B1" s="13" t="s">
        <v>245</v>
      </c>
      <c r="C1" s="13" t="s">
        <v>246</v>
      </c>
      <c r="D1" s="13" t="s">
        <v>2</v>
      </c>
    </row>
    <row r="2" s="12" customFormat="true" ht="45" hidden="false" customHeight="true" outlineLevel="0" collapsed="false">
      <c r="A2" s="10" t="s">
        <v>247</v>
      </c>
      <c r="B2" s="10" t="s">
        <v>248</v>
      </c>
      <c r="C2" s="10" t="s">
        <v>249</v>
      </c>
      <c r="D2" s="14" t="s">
        <v>250</v>
      </c>
    </row>
    <row r="3" s="12" customFormat="true" ht="75" hidden="false" customHeight="true" outlineLevel="0" collapsed="false">
      <c r="A3" s="10" t="s">
        <v>247</v>
      </c>
      <c r="B3" s="10" t="s">
        <v>251</v>
      </c>
      <c r="C3" s="10" t="s">
        <v>252</v>
      </c>
      <c r="D3" s="14" t="s">
        <v>253</v>
      </c>
    </row>
    <row r="4" s="12" customFormat="true" ht="60" hidden="false" customHeight="true" outlineLevel="0" collapsed="false">
      <c r="A4" s="10" t="s">
        <v>247</v>
      </c>
      <c r="B4" s="10" t="s">
        <v>254</v>
      </c>
      <c r="C4" s="14" t="s">
        <v>255</v>
      </c>
      <c r="D4" s="14" t="s">
        <v>256</v>
      </c>
    </row>
    <row r="5" s="12" customFormat="true" ht="30" hidden="false" customHeight="true" outlineLevel="0" collapsed="false">
      <c r="A5" s="10" t="s">
        <v>27</v>
      </c>
      <c r="B5" s="10" t="s">
        <v>257</v>
      </c>
      <c r="C5" s="14" t="s">
        <v>258</v>
      </c>
      <c r="D5" s="14" t="s">
        <v>259</v>
      </c>
    </row>
    <row r="6" s="12" customFormat="true" ht="30" hidden="false" customHeight="true" outlineLevel="0" collapsed="false">
      <c r="A6" s="10" t="s">
        <v>28</v>
      </c>
      <c r="B6" s="10" t="s">
        <v>260</v>
      </c>
      <c r="C6" s="14" t="s">
        <v>258</v>
      </c>
      <c r="D6" s="14" t="s">
        <v>259</v>
      </c>
    </row>
    <row r="7" s="12" customFormat="true" ht="30" hidden="false" customHeight="true" outlineLevel="0" collapsed="false">
      <c r="A7" s="10" t="s">
        <v>48</v>
      </c>
      <c r="B7" s="10" t="s">
        <v>261</v>
      </c>
      <c r="C7" s="10" t="s">
        <v>262</v>
      </c>
      <c r="D7" s="14" t="s">
        <v>263</v>
      </c>
    </row>
    <row r="8" s="12" customFormat="true" ht="45" hidden="false" customHeight="true" outlineLevel="0" collapsed="false">
      <c r="A8" s="10" t="s">
        <v>264</v>
      </c>
      <c r="B8" s="10" t="s">
        <v>265</v>
      </c>
      <c r="C8" s="10" t="s">
        <v>266</v>
      </c>
      <c r="D8" s="14" t="s">
        <v>267</v>
      </c>
    </row>
    <row r="9" s="12" customFormat="true" ht="75" hidden="false" customHeight="true" outlineLevel="0" collapsed="false">
      <c r="A9" s="10" t="s">
        <v>88</v>
      </c>
      <c r="B9" s="10" t="s">
        <v>268</v>
      </c>
      <c r="C9" s="10" t="s">
        <v>269</v>
      </c>
      <c r="D9" s="14" t="s">
        <v>270</v>
      </c>
    </row>
    <row r="10" s="12" customFormat="true" ht="105" hidden="false" customHeight="true" outlineLevel="0" collapsed="false">
      <c r="A10" s="10" t="s">
        <v>271</v>
      </c>
      <c r="B10" s="10" t="s">
        <v>272</v>
      </c>
      <c r="C10" s="10" t="s">
        <v>273</v>
      </c>
      <c r="D10" s="14" t="s">
        <v>274</v>
      </c>
    </row>
    <row r="11" s="12" customFormat="true" ht="60" hidden="false" customHeight="true" outlineLevel="0" collapsed="false">
      <c r="A11" s="10" t="s">
        <v>271</v>
      </c>
      <c r="B11" s="10" t="s">
        <v>275</v>
      </c>
      <c r="C11" s="10" t="s">
        <v>276</v>
      </c>
      <c r="D11" s="14" t="s">
        <v>277</v>
      </c>
    </row>
    <row r="12" s="12" customFormat="true" ht="150" hidden="false" customHeight="true" outlineLevel="0" collapsed="false">
      <c r="A12" s="10" t="s">
        <v>271</v>
      </c>
      <c r="B12" s="10" t="s">
        <v>278</v>
      </c>
      <c r="C12" s="10" t="s">
        <v>279</v>
      </c>
      <c r="D12" s="14" t="s">
        <v>280</v>
      </c>
    </row>
    <row r="13" s="12" customFormat="true" ht="90" hidden="false" customHeight="true" outlineLevel="0" collapsed="false">
      <c r="A13" s="10" t="s">
        <v>281</v>
      </c>
      <c r="B13" s="10" t="s">
        <v>282</v>
      </c>
      <c r="C13" s="14" t="s">
        <v>283</v>
      </c>
      <c r="D13" s="14" t="s">
        <v>284</v>
      </c>
    </row>
    <row r="14" s="12" customFormat="true" ht="75" hidden="false" customHeight="true" outlineLevel="0" collapsed="false">
      <c r="A14" s="10" t="s">
        <v>137</v>
      </c>
      <c r="B14" s="10" t="s">
        <v>282</v>
      </c>
      <c r="C14" s="14" t="s">
        <v>285</v>
      </c>
      <c r="D14" s="14" t="s">
        <v>286</v>
      </c>
    </row>
    <row r="15" s="12" customFormat="true" ht="120" hidden="false" customHeight="true" outlineLevel="0" collapsed="false">
      <c r="A15" s="10" t="s">
        <v>287</v>
      </c>
      <c r="B15" s="10" t="s">
        <v>288</v>
      </c>
      <c r="C15" s="14" t="s">
        <v>289</v>
      </c>
      <c r="D15" s="14" t="s">
        <v>290</v>
      </c>
    </row>
    <row r="16" s="12" customFormat="true" ht="45" hidden="false" customHeight="true" outlineLevel="0" collapsed="false">
      <c r="A16" s="10" t="s">
        <v>130</v>
      </c>
      <c r="B16" s="10" t="s">
        <v>291</v>
      </c>
      <c r="C16" s="10" t="s">
        <v>292</v>
      </c>
      <c r="D16" s="14" t="s">
        <v>293</v>
      </c>
    </row>
    <row r="17" s="12" customFormat="true" ht="75" hidden="false" customHeight="true" outlineLevel="0" collapsed="false">
      <c r="A17" s="10" t="s">
        <v>294</v>
      </c>
      <c r="B17" s="10" t="s">
        <v>265</v>
      </c>
      <c r="C17" s="10" t="s">
        <v>295</v>
      </c>
      <c r="D17" s="14" t="s">
        <v>296</v>
      </c>
    </row>
    <row r="18" s="12" customFormat="true" ht="90" hidden="false" customHeight="true" outlineLevel="0" collapsed="false">
      <c r="A18" s="10" t="s">
        <v>294</v>
      </c>
      <c r="B18" s="10" t="s">
        <v>297</v>
      </c>
      <c r="C18" s="14" t="s">
        <v>298</v>
      </c>
      <c r="D18" s="14" t="s">
        <v>299</v>
      </c>
    </row>
    <row r="19" s="12" customFormat="true" ht="75" hidden="false" customHeight="true" outlineLevel="0" collapsed="false">
      <c r="A19" s="10" t="s">
        <v>144</v>
      </c>
      <c r="B19" s="10" t="s">
        <v>300</v>
      </c>
      <c r="C19" s="10" t="s">
        <v>301</v>
      </c>
      <c r="D19" s="14" t="s">
        <v>302</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3" activeCellId="0" sqref="B13"/>
    </sheetView>
  </sheetViews>
  <sheetFormatPr defaultColWidth="9.36328125" defaultRowHeight="15" customHeight="true" zeroHeight="false" outlineLevelRow="0" outlineLevelCol="0"/>
  <cols>
    <col collapsed="false" customWidth="true" hidden="false" outlineLevel="0" max="1" min="1" style="10" width="21.54"/>
    <col collapsed="false" customWidth="true" hidden="false" outlineLevel="0" max="2" min="2" style="10" width="98"/>
    <col collapsed="false" customWidth="false" hidden="false" outlineLevel="0" max="16384" min="3" style="10" width="9.36"/>
  </cols>
  <sheetData>
    <row r="1" customFormat="false" ht="15" hidden="false" customHeight="true" outlineLevel="0" collapsed="false">
      <c r="A1" s="13" t="s">
        <v>244</v>
      </c>
      <c r="B1" s="13" t="s">
        <v>303</v>
      </c>
    </row>
    <row r="2" s="12" customFormat="true" ht="90" hidden="false" customHeight="true" outlineLevel="0" collapsed="false">
      <c r="A2" s="10" t="s">
        <v>247</v>
      </c>
      <c r="B2" s="14" t="s">
        <v>304</v>
      </c>
    </row>
    <row r="3" s="12" customFormat="true" ht="135" hidden="false" customHeight="true" outlineLevel="0" collapsed="false">
      <c r="A3" s="10" t="s">
        <v>247</v>
      </c>
      <c r="B3" s="14" t="s">
        <v>305</v>
      </c>
    </row>
    <row r="4" customFormat="false" ht="15" hidden="false" customHeight="true" outlineLevel="0" collapsed="false">
      <c r="A4" s="10" t="s">
        <v>265</v>
      </c>
      <c r="B4" s="14" t="s">
        <v>306</v>
      </c>
    </row>
    <row r="5" customFormat="false" ht="15" hidden="false" customHeight="true" outlineLevel="0" collapsed="false">
      <c r="A5" s="10" t="s">
        <v>307</v>
      </c>
      <c r="B5" s="14" t="s">
        <v>308</v>
      </c>
    </row>
    <row r="6" customFormat="false" ht="15" hidden="false" customHeight="true" outlineLevel="0" collapsed="false">
      <c r="A6" s="10" t="s">
        <v>309</v>
      </c>
      <c r="B6" s="14" t="s">
        <v>310</v>
      </c>
    </row>
    <row r="7" customFormat="false" ht="15" hidden="false" customHeight="true" outlineLevel="0" collapsed="false">
      <c r="A7" s="10" t="s">
        <v>311</v>
      </c>
      <c r="B7" s="14" t="s">
        <v>310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0" activeCellId="0" sqref="B30"/>
    </sheetView>
  </sheetViews>
  <sheetFormatPr defaultColWidth="8.6796875" defaultRowHeight="15" customHeight="true" zeroHeight="false" outlineLevelRow="0" outlineLevelCol="0"/>
  <cols>
    <col collapsed="false" customWidth="true" hidden="false" outlineLevel="0" max="1" min="1" style="0" width="24.36"/>
    <col collapsed="false" customWidth="true" hidden="false" outlineLevel="0" max="2" min="2" style="0" width="54.36"/>
    <col collapsed="false" customWidth="true" hidden="false" outlineLevel="0" max="3" min="3" style="0" width="24.54"/>
    <col collapsed="false" customWidth="true" hidden="false" outlineLevel="0" max="6" min="6" style="0" width="26.36"/>
  </cols>
  <sheetData>
    <row r="1" customFormat="false" ht="15" hidden="false" customHeight="true" outlineLevel="0" collapsed="false">
      <c r="A1" s="15" t="s">
        <v>312</v>
      </c>
      <c r="B1" s="15" t="s">
        <v>313</v>
      </c>
    </row>
    <row r="2" customFormat="false" ht="15" hidden="false" customHeight="true" outlineLevel="0" collapsed="false">
      <c r="A2" s="0" t="s">
        <v>314</v>
      </c>
      <c r="B2" s="0" t="s">
        <v>177</v>
      </c>
    </row>
    <row r="3" customFormat="false" ht="15" hidden="false" customHeight="true" outlineLevel="0" collapsed="false">
      <c r="A3" s="0" t="s">
        <v>315</v>
      </c>
      <c r="B3" s="0" t="s">
        <v>176</v>
      </c>
    </row>
    <row r="4" customFormat="false" ht="15" hidden="false" customHeight="true" outlineLevel="0" collapsed="false">
      <c r="A4" s="0" t="s">
        <v>316</v>
      </c>
      <c r="B4" s="0" t="s">
        <v>189</v>
      </c>
    </row>
    <row r="5" customFormat="false" ht="15" hidden="false" customHeight="true" outlineLevel="0" collapsed="false">
      <c r="A5" s="16" t="s">
        <v>317</v>
      </c>
      <c r="B5" s="17" t="s">
        <v>114</v>
      </c>
    </row>
    <row r="6" customFormat="false" ht="15" hidden="false" customHeight="true" outlineLevel="0" collapsed="false">
      <c r="A6" s="0" t="s">
        <v>318</v>
      </c>
      <c r="B6" s="0" t="s">
        <v>180</v>
      </c>
    </row>
    <row r="7" customFormat="false" ht="15" hidden="false" customHeight="true" outlineLevel="0" collapsed="false">
      <c r="A7" s="0" t="s">
        <v>319</v>
      </c>
      <c r="B7" s="0" t="s">
        <v>185</v>
      </c>
    </row>
    <row r="8" customFormat="false" ht="15" hidden="false" customHeight="true" outlineLevel="0" collapsed="false">
      <c r="A8" s="0" t="s">
        <v>320</v>
      </c>
      <c r="B8" s="0" t="s">
        <v>188</v>
      </c>
    </row>
    <row r="9" customFormat="false" ht="15" hidden="false" customHeight="true" outlineLevel="0" collapsed="false">
      <c r="A9" s="0" t="s">
        <v>321</v>
      </c>
      <c r="B9" s="0" t="s">
        <v>195</v>
      </c>
    </row>
    <row r="10" customFormat="false" ht="15" hidden="false" customHeight="true" outlineLevel="0" collapsed="false">
      <c r="A10" s="0" t="s">
        <v>322</v>
      </c>
      <c r="B10" s="0" t="s">
        <v>198</v>
      </c>
    </row>
    <row r="11" customFormat="false" ht="15" hidden="false" customHeight="true" outlineLevel="0" collapsed="false">
      <c r="A11" s="0" t="s">
        <v>323</v>
      </c>
      <c r="B11" s="0" t="s">
        <v>170</v>
      </c>
    </row>
    <row r="12" customFormat="false" ht="15" hidden="false" customHeight="true" outlineLevel="0" collapsed="false">
      <c r="A12" s="18" t="s">
        <v>324</v>
      </c>
      <c r="B12" s="0" t="s">
        <v>174</v>
      </c>
    </row>
    <row r="13" customFormat="false" ht="15" hidden="false" customHeight="true" outlineLevel="0" collapsed="false">
      <c r="A13" s="0" t="s">
        <v>325</v>
      </c>
      <c r="B13" s="0" t="s">
        <v>162</v>
      </c>
    </row>
    <row r="14" customFormat="false" ht="15" hidden="false" customHeight="true" outlineLevel="0" collapsed="false">
      <c r="A14" s="0" t="s">
        <v>326</v>
      </c>
      <c r="B14" s="0" t="s">
        <v>151</v>
      </c>
    </row>
    <row r="15" customFormat="false" ht="15" hidden="false" customHeight="true" outlineLevel="0" collapsed="false">
      <c r="A15" s="0" t="s">
        <v>327</v>
      </c>
      <c r="B15" s="0" t="s">
        <v>173</v>
      </c>
    </row>
    <row r="16" customFormat="false" ht="15" hidden="false" customHeight="true" outlineLevel="0" collapsed="false">
      <c r="A16" s="0" t="s">
        <v>328</v>
      </c>
      <c r="B16" s="0" t="s">
        <v>329</v>
      </c>
    </row>
    <row r="17" customFormat="false" ht="15" hidden="false" customHeight="true" outlineLevel="0" collapsed="false">
      <c r="A17" s="18" t="s">
        <v>330</v>
      </c>
      <c r="B17" s="0" t="s">
        <v>193</v>
      </c>
    </row>
    <row r="18" customFormat="false" ht="15" hidden="false" customHeight="true" outlineLevel="0" collapsed="false">
      <c r="A18" s="18" t="s">
        <v>331</v>
      </c>
      <c r="B18" s="0" t="s">
        <v>204</v>
      </c>
    </row>
    <row r="19" customFormat="false" ht="15" hidden="false" customHeight="true" outlineLevel="0" collapsed="false">
      <c r="A19" s="19" t="s">
        <v>332</v>
      </c>
      <c r="B19" s="20" t="s">
        <v>44</v>
      </c>
      <c r="D19" s="0" t="s">
        <v>333</v>
      </c>
    </row>
    <row r="20" customFormat="false" ht="15" hidden="false" customHeight="true" outlineLevel="0" collapsed="false">
      <c r="A20" s="0" t="s">
        <v>82</v>
      </c>
      <c r="B20" s="0" t="s">
        <v>334</v>
      </c>
    </row>
    <row r="21" customFormat="false" ht="15" hidden="false" customHeight="true" outlineLevel="0" collapsed="false">
      <c r="A21" s="0" t="s">
        <v>83</v>
      </c>
      <c r="B21" s="0" t="s">
        <v>335</v>
      </c>
    </row>
    <row r="22" customFormat="false" ht="15" hidden="false" customHeight="true" outlineLevel="0" collapsed="false">
      <c r="A22" s="0" t="s">
        <v>336</v>
      </c>
      <c r="B22" s="0" t="s">
        <v>194</v>
      </c>
    </row>
    <row r="23" customFormat="false" ht="15" hidden="false" customHeight="true" outlineLevel="0" collapsed="false">
      <c r="A23" s="0" t="s">
        <v>337</v>
      </c>
      <c r="B23" s="0" t="s">
        <v>338</v>
      </c>
    </row>
    <row r="24" customFormat="false" ht="15" hidden="false" customHeight="true" outlineLevel="0" collapsed="false">
      <c r="A24" s="21" t="s">
        <v>339</v>
      </c>
      <c r="B24" s="21" t="s">
        <v>340</v>
      </c>
    </row>
    <row r="25" customFormat="false" ht="15" hidden="false" customHeight="true" outlineLevel="0" collapsed="false">
      <c r="A25" s="22" t="s">
        <v>341</v>
      </c>
      <c r="B25" s="22" t="s">
        <v>342</v>
      </c>
    </row>
    <row r="26" customFormat="false" ht="15" hidden="false" customHeight="true" outlineLevel="0" collapsed="false">
      <c r="A26" s="0" t="s">
        <v>343</v>
      </c>
      <c r="B26" s="0" t="s">
        <v>344</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M136"/>
  <sheetViews>
    <sheetView showFormulas="false" showGridLines="false" showRowColHeaders="true" showZeros="true" rightToLeft="false" tabSelected="false" showOutlineSymbols="true" defaultGridColor="true" view="normal" topLeftCell="G68" colorId="64" zoomScale="90" zoomScaleNormal="90" zoomScalePageLayoutView="100" workbookViewId="0">
      <selection pane="topLeft" activeCell="K95" activeCellId="0" sqref="K95"/>
    </sheetView>
  </sheetViews>
  <sheetFormatPr defaultColWidth="9.36328125" defaultRowHeight="15" customHeight="true" zeroHeight="false" outlineLevelRow="0" outlineLevelCol="0"/>
  <cols>
    <col collapsed="false" customWidth="true" hidden="false" outlineLevel="0" max="1" min="1" style="1" width="42.54"/>
    <col collapsed="false" customWidth="true" hidden="false" outlineLevel="0" max="2" min="2" style="1" width="9"/>
    <col collapsed="false" customWidth="true" hidden="false" outlineLevel="0" max="3" min="3" style="1" width="42.54"/>
    <col collapsed="false" customWidth="false" hidden="false" outlineLevel="0" max="4" min="4" style="1" width="9.36"/>
    <col collapsed="false" customWidth="true" hidden="false" outlineLevel="0" max="5" min="5" style="1" width="30.36"/>
    <col collapsed="false" customWidth="false" hidden="false" outlineLevel="0" max="6" min="6" style="1" width="9.36"/>
    <col collapsed="false" customWidth="true" hidden="false" outlineLevel="0" max="7" min="7" style="1" width="59.36"/>
    <col collapsed="false" customWidth="false" hidden="false" outlineLevel="0" max="8" min="8" style="1" width="9.36"/>
    <col collapsed="false" customWidth="true" hidden="false" outlineLevel="0" max="9" min="9" style="1" width="21"/>
    <col collapsed="false" customWidth="true" hidden="false" outlineLevel="0" max="10" min="10" style="1" width="9"/>
    <col collapsed="false" customWidth="true" hidden="false" outlineLevel="0" max="11" min="11" style="1" width="21"/>
    <col collapsed="false" customWidth="false" hidden="false" outlineLevel="0" max="12" min="12" style="1" width="9.36"/>
    <col collapsed="false" customWidth="true" hidden="false" outlineLevel="0" max="13" min="13" style="1" width="31.36"/>
    <col collapsed="false" customWidth="false" hidden="false" outlineLevel="0" max="14" min="14" style="1" width="9.36"/>
    <col collapsed="false" customWidth="true" hidden="false" outlineLevel="0" max="15" min="15" style="1" width="23.54"/>
    <col collapsed="false" customWidth="false" hidden="false" outlineLevel="0" max="16" min="16" style="1" width="9.36"/>
    <col collapsed="false" customWidth="true" hidden="false" outlineLevel="0" max="17" min="17" style="1" width="25.54"/>
    <col collapsed="false" customWidth="false" hidden="false" outlineLevel="0" max="18" min="18" style="1" width="9.36"/>
    <col collapsed="false" customWidth="true" hidden="false" outlineLevel="0" max="19" min="19" style="1" width="33.45"/>
    <col collapsed="false" customWidth="false" hidden="false" outlineLevel="0" max="20" min="20" style="1" width="9.36"/>
    <col collapsed="false" customWidth="true" hidden="false" outlineLevel="0" max="21" min="21" style="1" width="24.36"/>
    <col collapsed="false" customWidth="false" hidden="false" outlineLevel="0" max="22" min="22" style="1" width="9.36"/>
    <col collapsed="false" customWidth="true" hidden="false" outlineLevel="0" max="23" min="23" style="1" width="27.45"/>
    <col collapsed="false" customWidth="false" hidden="false" outlineLevel="0" max="24" min="24" style="1" width="9.36"/>
    <col collapsed="false" customWidth="true" hidden="false" outlineLevel="0" max="25" min="25" style="1" width="27.45"/>
    <col collapsed="false" customWidth="false" hidden="false" outlineLevel="0" max="26" min="26" style="1" width="9.36"/>
    <col collapsed="false" customWidth="true" hidden="false" outlineLevel="0" max="27" min="27" style="1" width="25.45"/>
    <col collapsed="false" customWidth="false" hidden="false" outlineLevel="0" max="28" min="28" style="1" width="9.36"/>
    <col collapsed="false" customWidth="true" hidden="false" outlineLevel="0" max="29" min="29" style="1" width="38"/>
    <col collapsed="false" customWidth="false" hidden="false" outlineLevel="0" max="30" min="30" style="1" width="9.36"/>
    <col collapsed="false" customWidth="true" hidden="false" outlineLevel="0" max="31" min="31" style="1" width="18"/>
    <col collapsed="false" customWidth="false" hidden="false" outlineLevel="0" max="32" min="32" style="1" width="9.36"/>
    <col collapsed="false" customWidth="true" hidden="false" outlineLevel="0" max="33" min="33" style="1" width="59.36"/>
    <col collapsed="false" customWidth="false" hidden="false" outlineLevel="0" max="34" min="34" style="1" width="9.36"/>
    <col collapsed="false" customWidth="true" hidden="false" outlineLevel="0" max="35" min="35" style="1" width="38"/>
    <col collapsed="false" customWidth="false" hidden="false" outlineLevel="0" max="36" min="36" style="1" width="9.36"/>
    <col collapsed="false" customWidth="true" hidden="false" outlineLevel="0" max="37" min="37" style="1" width="38.45"/>
    <col collapsed="false" customWidth="false" hidden="false" outlineLevel="0" max="38" min="38" style="1" width="9.36"/>
    <col collapsed="false" customWidth="true" hidden="false" outlineLevel="0" max="39" min="39" style="1" width="30.45"/>
    <col collapsed="false" customWidth="true" hidden="false" outlineLevel="0" max="40" min="40" style="1" width="18.36"/>
    <col collapsed="false" customWidth="false" hidden="false" outlineLevel="0" max="16384" min="41" style="1" width="9.36"/>
  </cols>
  <sheetData>
    <row r="1" customFormat="false" ht="15" hidden="true" customHeight="true" outlineLevel="0" collapsed="false">
      <c r="A1" s="8" t="s">
        <v>345</v>
      </c>
      <c r="C1" s="8" t="s">
        <v>346</v>
      </c>
      <c r="E1" s="8" t="s">
        <v>347</v>
      </c>
      <c r="G1" s="1" t="s">
        <v>348</v>
      </c>
    </row>
    <row r="2" customFormat="false" ht="15" hidden="true" customHeight="true" outlineLevel="0" collapsed="false">
      <c r="A2" s="7" t="s">
        <v>349</v>
      </c>
      <c r="C2" s="7" t="s">
        <v>350</v>
      </c>
      <c r="E2" s="7" t="s">
        <v>351</v>
      </c>
      <c r="G2" s="1" t="s">
        <v>352</v>
      </c>
    </row>
    <row r="3" customFormat="false" ht="15" hidden="true" customHeight="true" outlineLevel="0" collapsed="false">
      <c r="A3" s="7" t="s">
        <v>353</v>
      </c>
      <c r="C3" s="7" t="s">
        <v>354</v>
      </c>
      <c r="E3" s="7" t="s">
        <v>355</v>
      </c>
      <c r="G3" s="1" t="s">
        <v>356</v>
      </c>
    </row>
    <row r="4" customFormat="false" ht="15" hidden="true" customHeight="true" outlineLevel="0" collapsed="false">
      <c r="A4" s="7" t="s">
        <v>357</v>
      </c>
      <c r="C4" s="7" t="s">
        <v>358</v>
      </c>
    </row>
    <row r="5" customFormat="false" ht="15" hidden="true" customHeight="true" outlineLevel="0" collapsed="false">
      <c r="A5" s="7" t="s">
        <v>359</v>
      </c>
      <c r="C5" s="7" t="s">
        <v>360</v>
      </c>
    </row>
    <row r="6" customFormat="false" ht="15" hidden="true" customHeight="true" outlineLevel="0" collapsed="false">
      <c r="A6" s="7" t="s">
        <v>361</v>
      </c>
      <c r="C6" s="7" t="s">
        <v>362</v>
      </c>
    </row>
    <row r="7" customFormat="false" ht="15" hidden="true" customHeight="true" outlineLevel="0" collapsed="false">
      <c r="A7" s="7" t="s">
        <v>363</v>
      </c>
      <c r="C7" s="7" t="s">
        <v>364</v>
      </c>
      <c r="E7" s="7" t="s">
        <v>365</v>
      </c>
      <c r="G7" s="7" t="s">
        <v>366</v>
      </c>
    </row>
    <row r="8" customFormat="false" ht="15" hidden="true" customHeight="true" outlineLevel="0" collapsed="false">
      <c r="A8" s="7" t="s">
        <v>367</v>
      </c>
      <c r="C8" s="7" t="s">
        <v>368</v>
      </c>
      <c r="E8" s="7" t="s">
        <v>369</v>
      </c>
      <c r="G8" s="23" t="s">
        <v>370</v>
      </c>
    </row>
    <row r="9" customFormat="false" ht="15" hidden="true" customHeight="true" outlineLevel="0" collapsed="false">
      <c r="A9" s="7" t="s">
        <v>371</v>
      </c>
      <c r="C9" s="7" t="s">
        <v>372</v>
      </c>
      <c r="E9" s="7" t="s">
        <v>373</v>
      </c>
      <c r="G9" s="23" t="s">
        <v>374</v>
      </c>
    </row>
    <row r="10" customFormat="false" ht="15" hidden="true" customHeight="true" outlineLevel="0" collapsed="false">
      <c r="A10" s="7" t="s">
        <v>375</v>
      </c>
      <c r="E10" s="7" t="s">
        <v>376</v>
      </c>
      <c r="G10" s="24" t="s">
        <v>377</v>
      </c>
    </row>
    <row r="11" customFormat="false" ht="15" hidden="true" customHeight="true" outlineLevel="0" collapsed="false">
      <c r="A11" s="7" t="s">
        <v>378</v>
      </c>
      <c r="E11" s="7" t="s">
        <v>379</v>
      </c>
    </row>
    <row r="12" customFormat="false" ht="15" hidden="true" customHeight="true" outlineLevel="0" collapsed="false">
      <c r="A12" s="7" t="s">
        <v>380</v>
      </c>
    </row>
    <row r="13" customFormat="false" ht="15" hidden="true" customHeight="true" outlineLevel="0" collapsed="false">
      <c r="C13" s="7" t="s">
        <v>381</v>
      </c>
    </row>
    <row r="14" customFormat="false" ht="15" hidden="true" customHeight="true" outlineLevel="0" collapsed="false">
      <c r="C14" s="7" t="s">
        <v>382</v>
      </c>
      <c r="G14" s="1" t="s">
        <v>383</v>
      </c>
    </row>
    <row r="15" customFormat="false" ht="15" hidden="true" customHeight="true" outlineLevel="0" collapsed="false">
      <c r="C15" s="7" t="s">
        <v>384</v>
      </c>
      <c r="E15" s="7" t="s">
        <v>385</v>
      </c>
      <c r="G15" s="1" t="s">
        <v>386</v>
      </c>
    </row>
    <row r="16" customFormat="false" ht="15" hidden="true" customHeight="true" outlineLevel="0" collapsed="false">
      <c r="A16" s="7" t="s">
        <v>387</v>
      </c>
      <c r="E16" s="7" t="s">
        <v>388</v>
      </c>
      <c r="G16" s="1" t="s">
        <v>389</v>
      </c>
    </row>
    <row r="17" customFormat="false" ht="15" hidden="true" customHeight="true" outlineLevel="0" collapsed="false">
      <c r="A17" s="7" t="s">
        <v>390</v>
      </c>
      <c r="E17" s="7" t="s">
        <v>391</v>
      </c>
    </row>
    <row r="18" customFormat="false" ht="15" hidden="true" customHeight="true" outlineLevel="0" collapsed="false">
      <c r="A18" s="7" t="s">
        <v>392</v>
      </c>
      <c r="E18" s="7" t="s">
        <v>393</v>
      </c>
    </row>
    <row r="19" customFormat="false" ht="15" hidden="true" customHeight="true" outlineLevel="0" collapsed="false">
      <c r="A19" s="7" t="s">
        <v>394</v>
      </c>
      <c r="C19" s="7" t="s">
        <v>395</v>
      </c>
      <c r="E19" s="7" t="s">
        <v>396</v>
      </c>
    </row>
    <row r="20" customFormat="false" ht="15" hidden="true" customHeight="true" outlineLevel="0" collapsed="false">
      <c r="C20" s="7" t="s">
        <v>397</v>
      </c>
      <c r="E20" s="7" t="s">
        <v>398</v>
      </c>
      <c r="G20" s="7" t="s">
        <v>399</v>
      </c>
    </row>
    <row r="21" customFormat="false" ht="15" hidden="true" customHeight="true" outlineLevel="0" collapsed="false">
      <c r="C21" s="7" t="s">
        <v>400</v>
      </c>
      <c r="E21" s="7" t="s">
        <v>401</v>
      </c>
      <c r="G21" s="7" t="s">
        <v>402</v>
      </c>
    </row>
    <row r="22" customFormat="false" ht="15" hidden="true" customHeight="true" outlineLevel="0" collapsed="false">
      <c r="C22" s="7" t="s">
        <v>403</v>
      </c>
      <c r="G22" s="7" t="s">
        <v>404</v>
      </c>
    </row>
    <row r="23" customFormat="false" ht="15" hidden="true" customHeight="true" outlineLevel="0" collapsed="false">
      <c r="A23" s="7" t="s">
        <v>405</v>
      </c>
      <c r="G23" s="7" t="s">
        <v>406</v>
      </c>
    </row>
    <row r="24" customFormat="false" ht="15" hidden="true" customHeight="true" outlineLevel="0" collapsed="false">
      <c r="A24" s="7" t="s">
        <v>407</v>
      </c>
    </row>
    <row r="25" customFormat="false" ht="15" hidden="true" customHeight="true" outlineLevel="0" collapsed="false">
      <c r="A25" s="7" t="s">
        <v>408</v>
      </c>
    </row>
    <row r="26" customFormat="false" ht="15.75" hidden="true" customHeight="true" outlineLevel="0" collapsed="false">
      <c r="C26" s="25" t="s">
        <v>409</v>
      </c>
    </row>
    <row r="27" customFormat="false" ht="15.75" hidden="true" customHeight="true" outlineLevel="0" collapsed="false">
      <c r="C27" s="26" t="s">
        <v>410</v>
      </c>
    </row>
    <row r="28" customFormat="false" ht="15" hidden="true" customHeight="true" outlineLevel="0" collapsed="false">
      <c r="C28" s="27" t="s">
        <v>411</v>
      </c>
    </row>
    <row r="29" customFormat="false" ht="15" hidden="true" customHeight="true" outlineLevel="0" collapsed="false">
      <c r="C29" s="28" t="s">
        <v>412</v>
      </c>
    </row>
    <row r="30" customFormat="false" ht="15.75" hidden="true" customHeight="true" outlineLevel="0" collapsed="false">
      <c r="C30" s="25" t="s">
        <v>413</v>
      </c>
    </row>
    <row r="31" customFormat="false" ht="15.75" hidden="true" customHeight="true" outlineLevel="0" collapsed="false"/>
    <row r="32" customFormat="false" ht="15" hidden="true" customHeight="true" outlineLevel="0" collapsed="false"/>
    <row r="33" customFormat="false" ht="15" hidden="false" customHeight="true" outlineLevel="0" collapsed="false">
      <c r="G33" s="29" t="s">
        <v>345</v>
      </c>
      <c r="O33" s="2" t="s">
        <v>414</v>
      </c>
      <c r="Q33" s="29" t="s">
        <v>415</v>
      </c>
      <c r="S33" s="29" t="s">
        <v>416</v>
      </c>
      <c r="U33" s="29" t="s">
        <v>417</v>
      </c>
      <c r="W33" s="29" t="s">
        <v>418</v>
      </c>
      <c r="Y33" s="29" t="s">
        <v>419</v>
      </c>
      <c r="AA33" s="29" t="s">
        <v>420</v>
      </c>
      <c r="AC33" s="29" t="s">
        <v>421</v>
      </c>
      <c r="AE33" s="29" t="s">
        <v>422</v>
      </c>
      <c r="AG33" s="29" t="s">
        <v>423</v>
      </c>
      <c r="AI33" s="29" t="s">
        <v>424</v>
      </c>
      <c r="AK33" s="29" t="s">
        <v>425</v>
      </c>
      <c r="AM33" s="29" t="s">
        <v>426</v>
      </c>
    </row>
    <row r="34" customFormat="false" ht="15" hidden="false" customHeight="true" outlineLevel="0" collapsed="false">
      <c r="A34" s="2" t="s">
        <v>427</v>
      </c>
      <c r="C34" s="2" t="s">
        <v>428</v>
      </c>
      <c r="E34" s="2" t="s">
        <v>407</v>
      </c>
      <c r="G34" s="2" t="s">
        <v>378</v>
      </c>
      <c r="I34" s="2" t="n">
        <v>1</v>
      </c>
      <c r="K34" s="2" t="s">
        <v>429</v>
      </c>
      <c r="M34" s="2" t="s">
        <v>430</v>
      </c>
      <c r="O34" s="2" t="s">
        <v>431</v>
      </c>
      <c r="Q34" s="2" t="s">
        <v>432</v>
      </c>
      <c r="S34" s="2" t="s">
        <v>433</v>
      </c>
      <c r="U34" s="2" t="s">
        <v>434</v>
      </c>
      <c r="W34" s="2" t="s">
        <v>435</v>
      </c>
      <c r="Y34" s="2" t="s">
        <v>436</v>
      </c>
      <c r="AA34" s="2" t="s">
        <v>437</v>
      </c>
      <c r="AC34" s="2" t="s">
        <v>438</v>
      </c>
      <c r="AE34" s="2" t="s">
        <v>439</v>
      </c>
      <c r="AG34" s="2" t="s">
        <v>440</v>
      </c>
      <c r="AI34" s="2" t="s">
        <v>441</v>
      </c>
      <c r="AK34" s="2" t="s">
        <v>442</v>
      </c>
      <c r="AM34" s="2" t="s">
        <v>443</v>
      </c>
    </row>
    <row r="35" customFormat="false" ht="15" hidden="false" customHeight="true" outlineLevel="0" collapsed="false">
      <c r="A35" s="2" t="s">
        <v>444</v>
      </c>
      <c r="C35" s="2" t="s">
        <v>445</v>
      </c>
      <c r="E35" s="2" t="s">
        <v>408</v>
      </c>
      <c r="G35" s="2" t="s">
        <v>380</v>
      </c>
      <c r="I35" s="2" t="n">
        <v>2</v>
      </c>
      <c r="K35" s="2" t="s">
        <v>446</v>
      </c>
      <c r="M35" s="2" t="s">
        <v>447</v>
      </c>
      <c r="Q35" s="2" t="s">
        <v>448</v>
      </c>
      <c r="S35" s="2" t="s">
        <v>449</v>
      </c>
      <c r="U35" s="2" t="s">
        <v>450</v>
      </c>
      <c r="W35" s="2" t="s">
        <v>451</v>
      </c>
      <c r="Y35" s="2" t="s">
        <v>452</v>
      </c>
      <c r="AA35" s="2" t="s">
        <v>453</v>
      </c>
      <c r="AC35" s="2" t="s">
        <v>454</v>
      </c>
      <c r="AE35" s="2" t="s">
        <v>455</v>
      </c>
      <c r="AG35" s="2" t="s">
        <v>456</v>
      </c>
      <c r="AI35" s="2" t="s">
        <v>457</v>
      </c>
      <c r="AK35" s="2" t="s">
        <v>458</v>
      </c>
      <c r="AM35" s="2" t="s">
        <v>459</v>
      </c>
    </row>
    <row r="36" customFormat="false" ht="15" hidden="false" customHeight="true" outlineLevel="0" collapsed="false">
      <c r="G36" s="2" t="s">
        <v>460</v>
      </c>
      <c r="I36" s="2" t="n">
        <v>3</v>
      </c>
      <c r="K36" s="2" t="s">
        <v>441</v>
      </c>
      <c r="M36" s="2" t="s">
        <v>461</v>
      </c>
      <c r="O36" s="29" t="s">
        <v>462</v>
      </c>
      <c r="Q36" s="2" t="s">
        <v>463</v>
      </c>
      <c r="S36" s="2" t="s">
        <v>464</v>
      </c>
      <c r="U36" s="2" t="s">
        <v>465</v>
      </c>
      <c r="W36" s="2" t="s">
        <v>466</v>
      </c>
      <c r="Y36" s="2" t="s">
        <v>467</v>
      </c>
      <c r="AC36" s="2" t="s">
        <v>468</v>
      </c>
      <c r="AE36" s="2" t="s">
        <v>469</v>
      </c>
      <c r="AG36" s="2" t="s">
        <v>470</v>
      </c>
      <c r="AI36" s="2" t="s">
        <v>471</v>
      </c>
      <c r="AM36" s="2" t="s">
        <v>472</v>
      </c>
    </row>
    <row r="37" customFormat="false" ht="15" hidden="false" customHeight="true" outlineLevel="0" collapsed="false">
      <c r="G37" s="30" t="s">
        <v>353</v>
      </c>
      <c r="I37" s="2" t="n">
        <v>4</v>
      </c>
      <c r="K37" s="2" t="s">
        <v>473</v>
      </c>
      <c r="M37" s="2" t="s">
        <v>474</v>
      </c>
      <c r="O37" s="2" t="s">
        <v>475</v>
      </c>
      <c r="S37" s="2" t="s">
        <v>476</v>
      </c>
      <c r="U37" s="2" t="s">
        <v>477</v>
      </c>
      <c r="W37" s="2" t="s">
        <v>478</v>
      </c>
      <c r="AA37" s="29" t="s">
        <v>479</v>
      </c>
      <c r="AC37" s="2" t="s">
        <v>480</v>
      </c>
      <c r="AE37" s="2" t="s">
        <v>481</v>
      </c>
      <c r="AG37" s="2" t="s">
        <v>482</v>
      </c>
    </row>
    <row r="38" customFormat="false" ht="15" hidden="false" customHeight="true" outlineLevel="0" collapsed="false">
      <c r="A38" s="2" t="s">
        <v>430</v>
      </c>
      <c r="C38" s="2" t="s">
        <v>483</v>
      </c>
      <c r="E38" s="2" t="s">
        <v>484</v>
      </c>
      <c r="G38" s="2" t="s">
        <v>361</v>
      </c>
      <c r="I38" s="2" t="n">
        <v>5</v>
      </c>
      <c r="K38" s="2" t="s">
        <v>485</v>
      </c>
      <c r="M38" s="2" t="s">
        <v>486</v>
      </c>
      <c r="O38" s="2" t="s">
        <v>487</v>
      </c>
      <c r="S38" s="2" t="s">
        <v>488</v>
      </c>
      <c r="Y38" s="29" t="s">
        <v>489</v>
      </c>
      <c r="AA38" s="2" t="s">
        <v>490</v>
      </c>
      <c r="AE38" s="2" t="s">
        <v>491</v>
      </c>
      <c r="AG38" s="2" t="s">
        <v>492</v>
      </c>
      <c r="AK38" s="29" t="s">
        <v>493</v>
      </c>
    </row>
    <row r="39" customFormat="false" ht="15" hidden="false" customHeight="true" outlineLevel="0" collapsed="false">
      <c r="A39" s="2" t="s">
        <v>461</v>
      </c>
      <c r="C39" s="2" t="s">
        <v>494</v>
      </c>
      <c r="E39" s="2" t="s">
        <v>495</v>
      </c>
      <c r="G39" s="2" t="s">
        <v>357</v>
      </c>
      <c r="I39" s="2" t="n">
        <v>6</v>
      </c>
      <c r="M39" s="2" t="s">
        <v>496</v>
      </c>
      <c r="O39" s="2" t="s">
        <v>497</v>
      </c>
      <c r="Q39" s="2" t="s">
        <v>498</v>
      </c>
      <c r="S39" s="2" t="s">
        <v>499</v>
      </c>
      <c r="U39" s="29" t="s">
        <v>500</v>
      </c>
      <c r="W39" s="29" t="s">
        <v>501</v>
      </c>
      <c r="Y39" s="2" t="s">
        <v>502</v>
      </c>
      <c r="AA39" s="2" t="s">
        <v>386</v>
      </c>
      <c r="AC39" s="29" t="s">
        <v>503</v>
      </c>
      <c r="AG39" s="2" t="s">
        <v>504</v>
      </c>
      <c r="AI39" s="29" t="s">
        <v>505</v>
      </c>
      <c r="AK39" s="2" t="s">
        <v>506</v>
      </c>
      <c r="AM39" s="29" t="s">
        <v>507</v>
      </c>
    </row>
    <row r="40" customFormat="false" ht="15" hidden="false" customHeight="true" outlineLevel="0" collapsed="false">
      <c r="A40" s="2" t="s">
        <v>508</v>
      </c>
      <c r="C40" s="2" t="s">
        <v>509</v>
      </c>
      <c r="E40" s="2" t="s">
        <v>510</v>
      </c>
      <c r="G40" s="2" t="s">
        <v>511</v>
      </c>
      <c r="I40" s="2" t="n">
        <v>7</v>
      </c>
      <c r="M40" s="2" t="s">
        <v>467</v>
      </c>
      <c r="O40" s="2" t="s">
        <v>512</v>
      </c>
      <c r="Q40" s="2" t="s">
        <v>513</v>
      </c>
      <c r="S40" s="29" t="s">
        <v>514</v>
      </c>
      <c r="U40" s="2" t="s">
        <v>515</v>
      </c>
      <c r="W40" s="2" t="s">
        <v>516</v>
      </c>
      <c r="Y40" s="2" t="s">
        <v>517</v>
      </c>
      <c r="AA40" s="2" t="s">
        <v>389</v>
      </c>
      <c r="AC40" s="2" t="s">
        <v>518</v>
      </c>
      <c r="AE40" s="29" t="s">
        <v>519</v>
      </c>
      <c r="AG40" s="2" t="s">
        <v>520</v>
      </c>
      <c r="AI40" s="2" t="s">
        <v>521</v>
      </c>
      <c r="AK40" s="2" t="s">
        <v>522</v>
      </c>
      <c r="AM40" s="2" t="s">
        <v>523</v>
      </c>
    </row>
    <row r="41" customFormat="false" ht="15" hidden="false" customHeight="true" outlineLevel="0" collapsed="false">
      <c r="A41" s="2" t="s">
        <v>524</v>
      </c>
      <c r="E41" s="2" t="s">
        <v>525</v>
      </c>
      <c r="G41" s="2" t="s">
        <v>359</v>
      </c>
      <c r="I41" s="2" t="n">
        <v>8</v>
      </c>
      <c r="K41" s="2" t="s">
        <v>487</v>
      </c>
      <c r="O41" s="2" t="s">
        <v>526</v>
      </c>
      <c r="Q41" s="2" t="s">
        <v>527</v>
      </c>
      <c r="S41" s="2" t="s">
        <v>528</v>
      </c>
      <c r="U41" s="2" t="s">
        <v>529</v>
      </c>
      <c r="W41" s="2" t="s">
        <v>530</v>
      </c>
      <c r="Y41" s="2" t="s">
        <v>531</v>
      </c>
      <c r="AA41" s="2" t="s">
        <v>532</v>
      </c>
      <c r="AC41" s="2" t="s">
        <v>533</v>
      </c>
      <c r="AE41" s="2" t="s">
        <v>379</v>
      </c>
      <c r="AG41" s="2" t="s">
        <v>534</v>
      </c>
      <c r="AI41" s="2" t="s">
        <v>535</v>
      </c>
      <c r="AM41" s="2" t="s">
        <v>536</v>
      </c>
    </row>
    <row r="42" customFormat="false" ht="15" hidden="false" customHeight="false" outlineLevel="0" collapsed="false">
      <c r="A42" s="2" t="s">
        <v>537</v>
      </c>
      <c r="E42" s="2" t="s">
        <v>538</v>
      </c>
      <c r="G42" s="2" t="s">
        <v>375</v>
      </c>
      <c r="I42" s="2" t="n">
        <v>9</v>
      </c>
      <c r="K42" s="2" t="s">
        <v>497</v>
      </c>
      <c r="O42" s="2" t="s">
        <v>432</v>
      </c>
      <c r="Q42" s="2" t="s">
        <v>539</v>
      </c>
      <c r="S42" s="2" t="s">
        <v>540</v>
      </c>
      <c r="U42" s="2" t="s">
        <v>541</v>
      </c>
      <c r="W42" s="2" t="s">
        <v>542</v>
      </c>
      <c r="Y42" s="2" t="s">
        <v>543</v>
      </c>
      <c r="AA42" s="31"/>
      <c r="AC42" s="2" t="s">
        <v>544</v>
      </c>
      <c r="AE42" s="2" t="s">
        <v>376</v>
      </c>
      <c r="AG42" s="2" t="s">
        <v>545</v>
      </c>
      <c r="AI42" s="2" t="s">
        <v>397</v>
      </c>
      <c r="AK42" s="29" t="s">
        <v>546</v>
      </c>
      <c r="AM42" s="2" t="s">
        <v>547</v>
      </c>
    </row>
    <row r="43" customFormat="false" ht="15" hidden="false" customHeight="true" outlineLevel="0" collapsed="false">
      <c r="A43" s="2" t="s">
        <v>548</v>
      </c>
      <c r="C43" s="2" t="s">
        <v>549</v>
      </c>
      <c r="G43" s="2" t="s">
        <v>550</v>
      </c>
      <c r="I43" s="2" t="n">
        <v>10</v>
      </c>
      <c r="K43" s="2" t="s">
        <v>432</v>
      </c>
      <c r="M43" s="2" t="s">
        <v>551</v>
      </c>
      <c r="O43" s="2" t="s">
        <v>552</v>
      </c>
      <c r="S43" s="2" t="s">
        <v>553</v>
      </c>
      <c r="W43" s="2" t="s">
        <v>554</v>
      </c>
      <c r="AE43" s="2" t="s">
        <v>373</v>
      </c>
      <c r="AG43" s="2" t="s">
        <v>555</v>
      </c>
      <c r="AI43" s="2" t="s">
        <v>556</v>
      </c>
      <c r="AK43" s="2" t="s">
        <v>557</v>
      </c>
    </row>
    <row r="44" customFormat="false" ht="15" hidden="false" customHeight="true" outlineLevel="0" collapsed="false">
      <c r="A44" s="2" t="s">
        <v>496</v>
      </c>
      <c r="C44" s="2" t="s">
        <v>502</v>
      </c>
      <c r="G44" s="2" t="s">
        <v>371</v>
      </c>
      <c r="I44" s="2" t="n">
        <v>11</v>
      </c>
      <c r="K44" s="2" t="s">
        <v>552</v>
      </c>
      <c r="M44" s="2" t="s">
        <v>558</v>
      </c>
      <c r="O44" s="2" t="s">
        <v>559</v>
      </c>
      <c r="Q44" s="29" t="s">
        <v>560</v>
      </c>
      <c r="U44" s="29" t="s">
        <v>561</v>
      </c>
      <c r="W44" s="2" t="s">
        <v>562</v>
      </c>
      <c r="Y44" s="29" t="s">
        <v>563</v>
      </c>
      <c r="AA44" s="29" t="s">
        <v>564</v>
      </c>
      <c r="AC44" s="29" t="s">
        <v>565</v>
      </c>
      <c r="AE44" s="2" t="s">
        <v>369</v>
      </c>
      <c r="AG44" s="2" t="s">
        <v>566</v>
      </c>
      <c r="AI44" s="2" t="s">
        <v>567</v>
      </c>
      <c r="AK44" s="2" t="s">
        <v>568</v>
      </c>
      <c r="AM44" s="29" t="s">
        <v>569</v>
      </c>
    </row>
    <row r="45" customFormat="false" ht="15" hidden="false" customHeight="true" outlineLevel="0" collapsed="false">
      <c r="C45" s="2" t="s">
        <v>447</v>
      </c>
      <c r="E45" s="2" t="s">
        <v>540</v>
      </c>
      <c r="G45" s="2" t="s">
        <v>570</v>
      </c>
      <c r="I45" s="2" t="n">
        <v>12</v>
      </c>
      <c r="K45" s="2" t="s">
        <v>559</v>
      </c>
      <c r="Q45" s="2" t="s">
        <v>571</v>
      </c>
      <c r="S45" s="29" t="s">
        <v>572</v>
      </c>
      <c r="U45" s="2" t="s">
        <v>573</v>
      </c>
      <c r="W45" s="2" t="s">
        <v>574</v>
      </c>
      <c r="Y45" s="2" t="s">
        <v>575</v>
      </c>
      <c r="AA45" s="2" t="s">
        <v>576</v>
      </c>
      <c r="AC45" s="2" t="s">
        <v>577</v>
      </c>
      <c r="AE45" s="2" t="s">
        <v>578</v>
      </c>
      <c r="AG45" s="2" t="s">
        <v>579</v>
      </c>
      <c r="AI45" s="2" t="s">
        <v>580</v>
      </c>
      <c r="AK45" s="2" t="s">
        <v>581</v>
      </c>
      <c r="AM45" s="2" t="s">
        <v>532</v>
      </c>
    </row>
    <row r="46" customFormat="false" ht="15" hidden="false" customHeight="true" outlineLevel="0" collapsed="false">
      <c r="C46" s="2" t="s">
        <v>582</v>
      </c>
      <c r="E46" s="2" t="s">
        <v>528</v>
      </c>
      <c r="G46" s="2"/>
      <c r="I46" s="2" t="n">
        <v>13</v>
      </c>
      <c r="O46" s="29" t="s">
        <v>583</v>
      </c>
      <c r="Q46" s="2" t="s">
        <v>584</v>
      </c>
      <c r="S46" s="2" t="s">
        <v>585</v>
      </c>
      <c r="U46" s="2" t="s">
        <v>586</v>
      </c>
      <c r="W46" s="2" t="s">
        <v>587</v>
      </c>
      <c r="Y46" s="2" t="s">
        <v>588</v>
      </c>
      <c r="AA46" s="2" t="s">
        <v>589</v>
      </c>
      <c r="AC46" s="2" t="s">
        <v>590</v>
      </c>
      <c r="AE46" s="2" t="s">
        <v>591</v>
      </c>
      <c r="AG46" s="2" t="s">
        <v>592</v>
      </c>
      <c r="AI46" s="2" t="s">
        <v>593</v>
      </c>
      <c r="AK46" s="2" t="s">
        <v>594</v>
      </c>
      <c r="AM46" s="2" t="s">
        <v>595</v>
      </c>
    </row>
    <row r="47" customFormat="false" ht="15" hidden="false" customHeight="true" outlineLevel="0" collapsed="false">
      <c r="A47" s="2" t="s">
        <v>596</v>
      </c>
      <c r="C47" s="2" t="s">
        <v>597</v>
      </c>
      <c r="I47" s="2" t="n">
        <v>14</v>
      </c>
      <c r="K47" s="2" t="s">
        <v>598</v>
      </c>
      <c r="M47" s="2" t="s">
        <v>599</v>
      </c>
      <c r="O47" s="2" t="s">
        <v>389</v>
      </c>
      <c r="Q47" s="2" t="s">
        <v>600</v>
      </c>
      <c r="S47" s="2" t="s">
        <v>601</v>
      </c>
      <c r="U47" s="2" t="s">
        <v>602</v>
      </c>
      <c r="W47" s="2" t="s">
        <v>603</v>
      </c>
      <c r="AA47" s="2" t="s">
        <v>604</v>
      </c>
      <c r="AC47" s="2" t="s">
        <v>605</v>
      </c>
      <c r="AE47" s="2" t="s">
        <v>606</v>
      </c>
      <c r="AG47" s="2" t="s">
        <v>607</v>
      </c>
      <c r="AI47" s="2" t="s">
        <v>608</v>
      </c>
      <c r="AK47" s="2" t="s">
        <v>609</v>
      </c>
      <c r="AM47" s="2"/>
    </row>
    <row r="48" customFormat="false" ht="15" hidden="false" customHeight="true" outlineLevel="0" collapsed="false">
      <c r="A48" s="2" t="s">
        <v>610</v>
      </c>
      <c r="C48" s="2" t="s">
        <v>611</v>
      </c>
      <c r="G48" s="2" t="s">
        <v>356</v>
      </c>
      <c r="I48" s="2" t="n">
        <v>15</v>
      </c>
      <c r="K48" s="2" t="s">
        <v>612</v>
      </c>
      <c r="M48" s="2" t="s">
        <v>613</v>
      </c>
      <c r="O48" s="2" t="s">
        <v>386</v>
      </c>
      <c r="Q48" s="2" t="s">
        <v>614</v>
      </c>
      <c r="S48" s="2" t="s">
        <v>615</v>
      </c>
      <c r="U48" s="2" t="s">
        <v>616</v>
      </c>
      <c r="Y48" s="29" t="s">
        <v>617</v>
      </c>
      <c r="AA48" s="2" t="s">
        <v>618</v>
      </c>
      <c r="AC48" s="2" t="s">
        <v>619</v>
      </c>
      <c r="AG48" s="2" t="s">
        <v>620</v>
      </c>
      <c r="AI48" s="2" t="s">
        <v>621</v>
      </c>
      <c r="AK48" s="2" t="s">
        <v>622</v>
      </c>
      <c r="AM48" s="29" t="s">
        <v>623</v>
      </c>
    </row>
    <row r="49" customFormat="false" ht="15" hidden="false" customHeight="true" outlineLevel="0" collapsed="false">
      <c r="A49" s="2" t="s">
        <v>624</v>
      </c>
      <c r="C49" s="2" t="s">
        <v>625</v>
      </c>
      <c r="E49" s="2" t="s">
        <v>626</v>
      </c>
      <c r="I49" s="2" t="n">
        <v>16</v>
      </c>
      <c r="K49" s="2" t="s">
        <v>605</v>
      </c>
      <c r="M49" s="2" t="s">
        <v>441</v>
      </c>
      <c r="O49" s="2" t="s">
        <v>532</v>
      </c>
      <c r="Q49" s="2" t="s">
        <v>627</v>
      </c>
      <c r="S49" s="2" t="s">
        <v>628</v>
      </c>
      <c r="U49" s="2" t="s">
        <v>629</v>
      </c>
      <c r="W49" s="29" t="s">
        <v>630</v>
      </c>
      <c r="Y49" s="2" t="s">
        <v>631</v>
      </c>
      <c r="AC49" s="2" t="s">
        <v>632</v>
      </c>
      <c r="AE49" s="29" t="s">
        <v>633</v>
      </c>
      <c r="AG49" s="2" t="s">
        <v>634</v>
      </c>
      <c r="AK49" s="2" t="s">
        <v>635</v>
      </c>
      <c r="AM49" s="2" t="s">
        <v>636</v>
      </c>
    </row>
    <row r="50" customFormat="false" ht="15" hidden="false" customHeight="true" outlineLevel="0" collapsed="false">
      <c r="C50" s="2" t="s">
        <v>637</v>
      </c>
      <c r="E50" s="2" t="s">
        <v>638</v>
      </c>
      <c r="I50" s="2" t="n">
        <v>17</v>
      </c>
      <c r="K50" s="2" t="s">
        <v>639</v>
      </c>
      <c r="M50" s="2" t="s">
        <v>640</v>
      </c>
      <c r="O50" s="29" t="s">
        <v>641</v>
      </c>
      <c r="Q50" s="2" t="s">
        <v>642</v>
      </c>
      <c r="S50" s="2" t="s">
        <v>441</v>
      </c>
      <c r="U50" s="2" t="s">
        <v>643</v>
      </c>
      <c r="W50" s="2" t="s">
        <v>644</v>
      </c>
      <c r="Y50" s="2" t="s">
        <v>645</v>
      </c>
      <c r="AA50" s="29" t="s">
        <v>646</v>
      </c>
      <c r="AE50" s="2" t="s">
        <v>647</v>
      </c>
      <c r="AG50" s="2" t="s">
        <v>648</v>
      </c>
      <c r="AK50" s="2" t="s">
        <v>649</v>
      </c>
      <c r="AM50" s="2" t="s">
        <v>650</v>
      </c>
    </row>
    <row r="51" customFormat="false" ht="15" hidden="false" customHeight="true" outlineLevel="0" collapsed="false">
      <c r="C51" s="2" t="s">
        <v>651</v>
      </c>
      <c r="E51" s="2" t="s">
        <v>652</v>
      </c>
      <c r="G51" s="2" t="s">
        <v>370</v>
      </c>
      <c r="I51" s="2" t="n">
        <v>18</v>
      </c>
      <c r="K51" s="2" t="s">
        <v>653</v>
      </c>
      <c r="M51" s="2" t="s">
        <v>654</v>
      </c>
      <c r="O51" s="2" t="s">
        <v>531</v>
      </c>
      <c r="Q51" s="2" t="s">
        <v>655</v>
      </c>
      <c r="U51" s="29" t="s">
        <v>656</v>
      </c>
      <c r="W51" s="2" t="s">
        <v>657</v>
      </c>
      <c r="AA51" s="2" t="s">
        <v>518</v>
      </c>
      <c r="AC51" s="29" t="s">
        <v>658</v>
      </c>
      <c r="AE51" s="2" t="s">
        <v>659</v>
      </c>
      <c r="AG51" s="2" t="s">
        <v>660</v>
      </c>
      <c r="AI51" s="29" t="s">
        <v>661</v>
      </c>
      <c r="AK51" s="2" t="s">
        <v>662</v>
      </c>
    </row>
    <row r="52" customFormat="false" ht="15" hidden="false" customHeight="true" outlineLevel="0" collapsed="false">
      <c r="A52" s="2" t="s">
        <v>663</v>
      </c>
      <c r="E52" s="2" t="s">
        <v>664</v>
      </c>
      <c r="G52" s="2" t="s">
        <v>377</v>
      </c>
      <c r="I52" s="2" t="n">
        <v>19</v>
      </c>
      <c r="O52" s="2" t="s">
        <v>665</v>
      </c>
      <c r="Q52" s="2" t="s">
        <v>441</v>
      </c>
      <c r="S52" s="29" t="s">
        <v>666</v>
      </c>
      <c r="U52" s="2" t="s">
        <v>667</v>
      </c>
      <c r="Y52" s="29" t="s">
        <v>668</v>
      </c>
      <c r="AA52" s="2" t="s">
        <v>669</v>
      </c>
      <c r="AC52" s="2" t="s">
        <v>430</v>
      </c>
      <c r="AE52" s="2" t="s">
        <v>670</v>
      </c>
      <c r="AG52" s="2" t="s">
        <v>671</v>
      </c>
      <c r="AI52" s="2" t="s">
        <v>356</v>
      </c>
      <c r="AM52" s="29" t="s">
        <v>672</v>
      </c>
    </row>
    <row r="53" customFormat="false" ht="15" hidden="false" customHeight="true" outlineLevel="0" collapsed="false">
      <c r="A53" s="2" t="s">
        <v>673</v>
      </c>
      <c r="G53" s="2" t="s">
        <v>374</v>
      </c>
      <c r="I53" s="2" t="n">
        <v>20</v>
      </c>
      <c r="K53" s="2" t="s">
        <v>432</v>
      </c>
      <c r="O53" s="2" t="s">
        <v>441</v>
      </c>
      <c r="Q53" s="2" t="s">
        <v>674</v>
      </c>
      <c r="S53" s="2" t="s">
        <v>675</v>
      </c>
      <c r="U53" s="2" t="s">
        <v>402</v>
      </c>
      <c r="W53" s="29" t="s">
        <v>676</v>
      </c>
      <c r="Y53" s="2" t="s">
        <v>677</v>
      </c>
      <c r="AC53" s="2" t="s">
        <v>461</v>
      </c>
      <c r="AE53" s="2" t="s">
        <v>678</v>
      </c>
      <c r="AG53" s="2" t="s">
        <v>679</v>
      </c>
      <c r="AI53" s="2" t="s">
        <v>352</v>
      </c>
      <c r="AM53" s="2" t="s">
        <v>680</v>
      </c>
    </row>
    <row r="54" customFormat="false" ht="15" hidden="false" customHeight="true" outlineLevel="0" collapsed="false">
      <c r="A54" s="2" t="s">
        <v>584</v>
      </c>
      <c r="C54" s="2" t="s">
        <v>681</v>
      </c>
      <c r="I54" s="2" t="n">
        <v>21</v>
      </c>
      <c r="K54" s="2" t="s">
        <v>682</v>
      </c>
      <c r="M54" s="2" t="s">
        <v>575</v>
      </c>
      <c r="O54" s="2" t="s">
        <v>683</v>
      </c>
      <c r="Q54" s="2" t="s">
        <v>684</v>
      </c>
      <c r="S54" s="2" t="s">
        <v>685</v>
      </c>
      <c r="U54" s="2" t="s">
        <v>404</v>
      </c>
      <c r="W54" s="2" t="s">
        <v>686</v>
      </c>
      <c r="Y54" s="2" t="s">
        <v>687</v>
      </c>
      <c r="AA54" s="29" t="s">
        <v>688</v>
      </c>
      <c r="AC54" s="2" t="s">
        <v>689</v>
      </c>
      <c r="AG54" s="2" t="s">
        <v>690</v>
      </c>
      <c r="AK54" s="29" t="s">
        <v>691</v>
      </c>
      <c r="AM54" s="2" t="s">
        <v>692</v>
      </c>
    </row>
    <row r="55" customFormat="false" ht="15" hidden="false" customHeight="true" outlineLevel="0" collapsed="false">
      <c r="A55" s="2" t="s">
        <v>693</v>
      </c>
      <c r="C55" s="2" t="s">
        <v>694</v>
      </c>
      <c r="E55" s="2" t="s">
        <v>695</v>
      </c>
      <c r="I55" s="2" t="n">
        <v>22</v>
      </c>
      <c r="K55" s="2" t="s">
        <v>696</v>
      </c>
      <c r="M55" s="2" t="s">
        <v>588</v>
      </c>
      <c r="Q55" s="2" t="s">
        <v>697</v>
      </c>
      <c r="S55" s="2" t="s">
        <v>698</v>
      </c>
      <c r="U55" s="2" t="s">
        <v>441</v>
      </c>
      <c r="W55" s="2" t="s">
        <v>699</v>
      </c>
      <c r="AA55" s="2" t="s">
        <v>612</v>
      </c>
      <c r="AC55" s="2" t="s">
        <v>486</v>
      </c>
      <c r="AE55" s="29" t="s">
        <v>700</v>
      </c>
      <c r="AG55" s="2" t="s">
        <v>701</v>
      </c>
      <c r="AK55" s="2" t="s">
        <v>702</v>
      </c>
    </row>
    <row r="56" customFormat="false" ht="15" hidden="false" customHeight="true" outlineLevel="0" collapsed="false">
      <c r="A56" s="2" t="s">
        <v>614</v>
      </c>
      <c r="C56" s="2" t="s">
        <v>703</v>
      </c>
      <c r="E56" s="2" t="s">
        <v>704</v>
      </c>
      <c r="G56" s="2" t="s">
        <v>705</v>
      </c>
      <c r="I56" s="2" t="n">
        <v>23</v>
      </c>
      <c r="O56" s="29" t="s">
        <v>706</v>
      </c>
      <c r="S56" s="2" t="s">
        <v>441</v>
      </c>
      <c r="U56" s="2" t="s">
        <v>707</v>
      </c>
      <c r="Y56" s="29" t="s">
        <v>708</v>
      </c>
      <c r="AA56" s="2" t="s">
        <v>709</v>
      </c>
      <c r="AC56" s="2" t="s">
        <v>496</v>
      </c>
      <c r="AE56" s="2" t="s">
        <v>710</v>
      </c>
      <c r="AG56" s="2" t="s">
        <v>711</v>
      </c>
      <c r="AI56" s="29" t="s">
        <v>712</v>
      </c>
      <c r="AK56" s="2" t="s">
        <v>713</v>
      </c>
      <c r="AM56" s="29" t="s">
        <v>714</v>
      </c>
    </row>
    <row r="57" customFormat="false" ht="15" hidden="false" customHeight="true" outlineLevel="0" collapsed="false">
      <c r="A57" s="2" t="s">
        <v>441</v>
      </c>
      <c r="G57" s="2" t="s">
        <v>715</v>
      </c>
      <c r="I57" s="2" t="n">
        <v>24</v>
      </c>
      <c r="O57" s="2" t="s">
        <v>716</v>
      </c>
      <c r="Q57" s="29" t="s">
        <v>717</v>
      </c>
      <c r="U57" s="2" t="s">
        <v>543</v>
      </c>
      <c r="W57" s="29" t="s">
        <v>718</v>
      </c>
      <c r="Y57" s="2" t="s">
        <v>400</v>
      </c>
      <c r="AA57" s="2" t="s">
        <v>719</v>
      </c>
      <c r="AE57" s="2" t="s">
        <v>495</v>
      </c>
      <c r="AG57" s="2" t="s">
        <v>720</v>
      </c>
      <c r="AI57" s="2" t="s">
        <v>721</v>
      </c>
      <c r="AK57" s="2" t="s">
        <v>722</v>
      </c>
      <c r="AM57" s="2" t="s">
        <v>723</v>
      </c>
    </row>
    <row r="58" customFormat="false" ht="15" hidden="false" customHeight="true" outlineLevel="0" collapsed="false">
      <c r="I58" s="2" t="n">
        <v>25</v>
      </c>
      <c r="K58" s="2" t="s">
        <v>724</v>
      </c>
      <c r="M58" s="2" t="s">
        <v>567</v>
      </c>
      <c r="O58" s="2" t="s">
        <v>725</v>
      </c>
      <c r="Q58" s="2" t="s">
        <v>726</v>
      </c>
      <c r="S58" s="29" t="s">
        <v>727</v>
      </c>
      <c r="U58" s="2" t="s">
        <v>728</v>
      </c>
      <c r="W58" s="2" t="s">
        <v>729</v>
      </c>
      <c r="Y58" s="2" t="s">
        <v>730</v>
      </c>
      <c r="AA58" s="2" t="s">
        <v>731</v>
      </c>
      <c r="AC58" s="29" t="s">
        <v>732</v>
      </c>
      <c r="AE58" s="2" t="s">
        <v>733</v>
      </c>
      <c r="AG58" s="2" t="s">
        <v>734</v>
      </c>
      <c r="AI58" s="2" t="s">
        <v>735</v>
      </c>
      <c r="AM58" s="2" t="s">
        <v>736</v>
      </c>
    </row>
    <row r="59" customFormat="false" ht="15" hidden="false" customHeight="true" outlineLevel="0" collapsed="false">
      <c r="A59" s="2" t="s">
        <v>737</v>
      </c>
      <c r="C59" s="2" t="s">
        <v>738</v>
      </c>
      <c r="E59" s="2" t="s">
        <v>739</v>
      </c>
      <c r="G59" s="29" t="s">
        <v>740</v>
      </c>
      <c r="I59" s="2" t="n">
        <v>26</v>
      </c>
      <c r="K59" s="2" t="s">
        <v>441</v>
      </c>
      <c r="M59" s="2" t="s">
        <v>741</v>
      </c>
      <c r="O59" s="2" t="s">
        <v>742</v>
      </c>
      <c r="Q59" s="2" t="s">
        <v>430</v>
      </c>
      <c r="S59" s="2" t="s">
        <v>743</v>
      </c>
      <c r="U59" s="2" t="s">
        <v>744</v>
      </c>
      <c r="W59" s="2" t="s">
        <v>745</v>
      </c>
      <c r="Y59" s="2" t="s">
        <v>746</v>
      </c>
      <c r="AA59" s="2" t="s">
        <v>747</v>
      </c>
      <c r="AC59" s="2" t="s">
        <v>496</v>
      </c>
      <c r="AE59" s="2" t="s">
        <v>605</v>
      </c>
      <c r="AG59" s="2" t="s">
        <v>748</v>
      </c>
    </row>
    <row r="60" customFormat="false" ht="15" hidden="false" customHeight="true" outlineLevel="0" collapsed="false">
      <c r="A60" s="2" t="s">
        <v>749</v>
      </c>
      <c r="C60" s="2" t="s">
        <v>750</v>
      </c>
      <c r="E60" s="2" t="s">
        <v>642</v>
      </c>
      <c r="G60" s="2" t="s">
        <v>751</v>
      </c>
      <c r="I60" s="2" t="n">
        <v>27</v>
      </c>
      <c r="K60" s="2" t="s">
        <v>752</v>
      </c>
      <c r="M60" s="2" t="s">
        <v>753</v>
      </c>
      <c r="Q60" s="2" t="s">
        <v>754</v>
      </c>
      <c r="S60" s="2" t="s">
        <v>755</v>
      </c>
      <c r="W60" s="2" t="s">
        <v>756</v>
      </c>
      <c r="Y60" s="2" t="s">
        <v>757</v>
      </c>
      <c r="AA60" s="2" t="s">
        <v>758</v>
      </c>
      <c r="AC60" s="2" t="s">
        <v>689</v>
      </c>
      <c r="AG60" s="2" t="s">
        <v>759</v>
      </c>
      <c r="AK60" s="29" t="s">
        <v>760</v>
      </c>
      <c r="AM60" s="29" t="s">
        <v>761</v>
      </c>
    </row>
    <row r="61" customFormat="false" ht="15" hidden="false" customHeight="true" outlineLevel="0" collapsed="false">
      <c r="A61" s="2" t="s">
        <v>762</v>
      </c>
      <c r="C61" s="2" t="s">
        <v>763</v>
      </c>
      <c r="E61" s="2" t="s">
        <v>764</v>
      </c>
      <c r="G61" s="2" t="s">
        <v>765</v>
      </c>
      <c r="I61" s="2" t="n">
        <v>28</v>
      </c>
      <c r="M61" s="2" t="s">
        <v>766</v>
      </c>
      <c r="O61" s="29" t="s">
        <v>767</v>
      </c>
      <c r="Q61" s="2" t="s">
        <v>768</v>
      </c>
      <c r="S61" s="2" t="s">
        <v>441</v>
      </c>
      <c r="U61" s="29" t="s">
        <v>769</v>
      </c>
      <c r="AA61" s="2" t="s">
        <v>770</v>
      </c>
      <c r="AC61" s="2" t="s">
        <v>430</v>
      </c>
      <c r="AE61" s="29" t="s">
        <v>771</v>
      </c>
      <c r="AG61" s="2" t="s">
        <v>772</v>
      </c>
      <c r="AI61" s="29" t="s">
        <v>773</v>
      </c>
      <c r="AK61" s="32" t="s">
        <v>352</v>
      </c>
      <c r="AM61" s="2" t="s">
        <v>774</v>
      </c>
    </row>
    <row r="62" customFormat="false" ht="15" hidden="false" customHeight="true" outlineLevel="0" collapsed="false">
      <c r="A62" s="2" t="s">
        <v>775</v>
      </c>
      <c r="C62" s="2" t="s">
        <v>776</v>
      </c>
      <c r="I62" s="2" t="n">
        <v>29</v>
      </c>
      <c r="O62" s="2" t="s">
        <v>441</v>
      </c>
      <c r="Q62" s="2" t="s">
        <v>777</v>
      </c>
      <c r="U62" s="2" t="s">
        <v>441</v>
      </c>
      <c r="W62" s="29" t="s">
        <v>778</v>
      </c>
      <c r="Y62" s="29" t="s">
        <v>779</v>
      </c>
      <c r="AA62" s="2" t="s">
        <v>780</v>
      </c>
      <c r="AE62" s="2" t="s">
        <v>781</v>
      </c>
      <c r="AG62" s="2" t="s">
        <v>782</v>
      </c>
      <c r="AI62" s="2" t="s">
        <v>441</v>
      </c>
      <c r="AK62" s="32" t="s">
        <v>783</v>
      </c>
      <c r="AM62" s="2" t="s">
        <v>784</v>
      </c>
    </row>
    <row r="63" customFormat="false" ht="15" hidden="false" customHeight="true" outlineLevel="0" collapsed="false">
      <c r="C63" s="2" t="s">
        <v>785</v>
      </c>
      <c r="I63" s="2" t="n">
        <v>30</v>
      </c>
      <c r="K63" s="2" t="s">
        <v>786</v>
      </c>
      <c r="M63" s="29" t="s">
        <v>787</v>
      </c>
      <c r="O63" s="2" t="s">
        <v>788</v>
      </c>
      <c r="Q63" s="2" t="s">
        <v>789</v>
      </c>
      <c r="U63" s="2" t="s">
        <v>790</v>
      </c>
      <c r="W63" s="2" t="s">
        <v>441</v>
      </c>
      <c r="Y63" s="2" t="s">
        <v>791</v>
      </c>
      <c r="AC63" s="29"/>
      <c r="AE63" s="2" t="s">
        <v>792</v>
      </c>
      <c r="AG63" s="2" t="s">
        <v>793</v>
      </c>
      <c r="AI63" s="2" t="s">
        <v>794</v>
      </c>
      <c r="AK63" s="32" t="s">
        <v>795</v>
      </c>
      <c r="AM63" s="2" t="s">
        <v>796</v>
      </c>
    </row>
    <row r="64" customFormat="false" ht="15" hidden="false" customHeight="true" outlineLevel="0" collapsed="false">
      <c r="C64" s="2" t="s">
        <v>797</v>
      </c>
      <c r="E64" s="2" t="s">
        <v>486</v>
      </c>
      <c r="G64" s="2" t="s">
        <v>798</v>
      </c>
      <c r="I64" s="2" t="n">
        <v>31</v>
      </c>
      <c r="K64" s="2" t="s">
        <v>799</v>
      </c>
      <c r="M64" s="2" t="s">
        <v>800</v>
      </c>
      <c r="O64" s="2" t="s">
        <v>801</v>
      </c>
      <c r="Q64" s="2" t="s">
        <v>802</v>
      </c>
      <c r="S64" s="2" t="s">
        <v>402</v>
      </c>
      <c r="U64" s="2" t="s">
        <v>803</v>
      </c>
      <c r="W64" s="2" t="s">
        <v>804</v>
      </c>
      <c r="Y64" s="2" t="s">
        <v>805</v>
      </c>
      <c r="AA64" s="29" t="s">
        <v>806</v>
      </c>
      <c r="AC64" s="2" t="s">
        <v>436</v>
      </c>
      <c r="AG64" s="2" t="s">
        <v>807</v>
      </c>
      <c r="AI64" s="2" t="s">
        <v>808</v>
      </c>
      <c r="AK64" s="32" t="s">
        <v>809</v>
      </c>
      <c r="AM64" s="2" t="s">
        <v>810</v>
      </c>
    </row>
    <row r="65" customFormat="false" ht="15" hidden="false" customHeight="true" outlineLevel="0" collapsed="false">
      <c r="A65" s="2" t="s">
        <v>577</v>
      </c>
      <c r="C65" s="2" t="s">
        <v>811</v>
      </c>
      <c r="E65" s="2" t="s">
        <v>461</v>
      </c>
      <c r="G65" s="2" t="s">
        <v>812</v>
      </c>
      <c r="K65" s="2" t="s">
        <v>813</v>
      </c>
      <c r="M65" s="2" t="s">
        <v>814</v>
      </c>
      <c r="Q65" s="2" t="s">
        <v>447</v>
      </c>
      <c r="S65" s="2" t="s">
        <v>404</v>
      </c>
      <c r="W65" s="2" t="s">
        <v>815</v>
      </c>
      <c r="Y65" s="2" t="s">
        <v>816</v>
      </c>
      <c r="AA65" s="2" t="s">
        <v>817</v>
      </c>
      <c r="AC65" s="2" t="s">
        <v>430</v>
      </c>
      <c r="AE65" s="29" t="s">
        <v>818</v>
      </c>
      <c r="AG65" s="2" t="s">
        <v>819</v>
      </c>
      <c r="AI65" s="2" t="s">
        <v>521</v>
      </c>
    </row>
    <row r="66" customFormat="false" ht="15" hidden="false" customHeight="true" outlineLevel="0" collapsed="false">
      <c r="A66" s="2" t="s">
        <v>820</v>
      </c>
      <c r="C66" s="2" t="s">
        <v>495</v>
      </c>
      <c r="E66" s="2" t="s">
        <v>447</v>
      </c>
      <c r="M66" s="2" t="s">
        <v>821</v>
      </c>
      <c r="O66" s="29" t="s">
        <v>822</v>
      </c>
      <c r="Q66" s="2" t="s">
        <v>823</v>
      </c>
      <c r="U66" s="29" t="s">
        <v>824</v>
      </c>
      <c r="W66" s="2" t="s">
        <v>825</v>
      </c>
      <c r="AA66" s="2" t="s">
        <v>719</v>
      </c>
      <c r="AC66" s="2" t="s">
        <v>802</v>
      </c>
      <c r="AE66" s="2" t="s">
        <v>356</v>
      </c>
      <c r="AG66" s="2" t="s">
        <v>826</v>
      </c>
      <c r="AI66" s="2" t="s">
        <v>535</v>
      </c>
      <c r="AM66" s="29" t="s">
        <v>827</v>
      </c>
    </row>
    <row r="67" customFormat="false" ht="15" hidden="false" customHeight="true" outlineLevel="0" collapsed="false">
      <c r="A67" s="2" t="s">
        <v>637</v>
      </c>
      <c r="C67" s="2" t="s">
        <v>828</v>
      </c>
      <c r="E67" s="2" t="s">
        <v>430</v>
      </c>
      <c r="G67" s="29" t="s">
        <v>346</v>
      </c>
      <c r="I67" s="2" t="s">
        <v>596</v>
      </c>
      <c r="M67" s="2" t="s">
        <v>829</v>
      </c>
      <c r="O67" s="2" t="s">
        <v>830</v>
      </c>
      <c r="Q67" s="2" t="s">
        <v>461</v>
      </c>
      <c r="S67" s="29" t="s">
        <v>831</v>
      </c>
      <c r="U67" s="2" t="s">
        <v>832</v>
      </c>
      <c r="W67" s="2" t="s">
        <v>833</v>
      </c>
      <c r="Y67" s="29" t="s">
        <v>834</v>
      </c>
      <c r="AA67" s="2" t="s">
        <v>731</v>
      </c>
      <c r="AC67" s="2" t="s">
        <v>447</v>
      </c>
      <c r="AE67" s="2" t="s">
        <v>441</v>
      </c>
      <c r="AG67" s="2" t="s">
        <v>835</v>
      </c>
      <c r="AM67" s="2" t="s">
        <v>836</v>
      </c>
    </row>
    <row r="68" customFormat="false" ht="15" hidden="false" customHeight="true" outlineLevel="0" collapsed="false">
      <c r="C68" s="2" t="s">
        <v>837</v>
      </c>
      <c r="E68" s="2" t="s">
        <v>496</v>
      </c>
      <c r="G68" s="2" t="s">
        <v>358</v>
      </c>
      <c r="I68" s="2" t="s">
        <v>838</v>
      </c>
      <c r="K68" s="2" t="s">
        <v>356</v>
      </c>
      <c r="M68" s="2" t="s">
        <v>839</v>
      </c>
      <c r="O68" s="2" t="s">
        <v>840</v>
      </c>
      <c r="Q68" s="2" t="s">
        <v>841</v>
      </c>
      <c r="S68" s="2" t="s">
        <v>441</v>
      </c>
      <c r="U68" s="2" t="s">
        <v>842</v>
      </c>
      <c r="W68" s="2" t="s">
        <v>843</v>
      </c>
      <c r="Y68" s="2" t="s">
        <v>844</v>
      </c>
      <c r="AA68" s="2" t="s">
        <v>612</v>
      </c>
      <c r="AC68" s="2" t="s">
        <v>461</v>
      </c>
      <c r="AG68" s="2" t="s">
        <v>845</v>
      </c>
      <c r="AK68" s="29" t="s">
        <v>846</v>
      </c>
      <c r="AM68" s="2" t="s">
        <v>847</v>
      </c>
    </row>
    <row r="69" customFormat="false" ht="15" hidden="false" customHeight="true" outlineLevel="0" collapsed="false">
      <c r="C69" s="2" t="s">
        <v>848</v>
      </c>
      <c r="E69" s="2" t="s">
        <v>689</v>
      </c>
      <c r="G69" s="2" t="s">
        <v>849</v>
      </c>
      <c r="K69" s="2" t="s">
        <v>352</v>
      </c>
      <c r="Q69" s="2" t="s">
        <v>850</v>
      </c>
      <c r="S69" s="2" t="s">
        <v>851</v>
      </c>
      <c r="W69" s="2" t="s">
        <v>852</v>
      </c>
      <c r="Y69" s="2" t="s">
        <v>521</v>
      </c>
      <c r="AA69" s="2" t="s">
        <v>853</v>
      </c>
      <c r="AC69" s="2" t="s">
        <v>689</v>
      </c>
      <c r="AE69" s="29" t="s">
        <v>854</v>
      </c>
      <c r="AG69" s="2" t="s">
        <v>855</v>
      </c>
      <c r="AI69" s="29" t="s">
        <v>856</v>
      </c>
      <c r="AK69" s="2" t="s">
        <v>644</v>
      </c>
      <c r="AM69" s="2" t="s">
        <v>857</v>
      </c>
    </row>
    <row r="70" customFormat="false" ht="15" hidden="false" customHeight="true" outlineLevel="0" collapsed="false">
      <c r="A70" s="2" t="s">
        <v>441</v>
      </c>
      <c r="C70" s="2" t="s">
        <v>858</v>
      </c>
      <c r="E70" s="2" t="s">
        <v>859</v>
      </c>
      <c r="G70" s="2" t="s">
        <v>360</v>
      </c>
      <c r="M70" s="29" t="s">
        <v>860</v>
      </c>
      <c r="O70" s="29" t="s">
        <v>861</v>
      </c>
      <c r="Q70" s="2" t="s">
        <v>689</v>
      </c>
      <c r="S70" s="2" t="s">
        <v>862</v>
      </c>
      <c r="U70" s="29" t="s">
        <v>863</v>
      </c>
      <c r="AA70" s="2" t="s">
        <v>709</v>
      </c>
      <c r="AC70" s="2" t="s">
        <v>486</v>
      </c>
      <c r="AE70" s="2" t="s">
        <v>710</v>
      </c>
      <c r="AG70" s="2" t="s">
        <v>864</v>
      </c>
      <c r="AI70" s="2" t="s">
        <v>577</v>
      </c>
      <c r="AK70" s="2" t="s">
        <v>865</v>
      </c>
    </row>
    <row r="71" customFormat="false" ht="15" hidden="false" customHeight="true" outlineLevel="0" collapsed="false">
      <c r="A71" s="2" t="s">
        <v>614</v>
      </c>
      <c r="C71" s="2" t="s">
        <v>866</v>
      </c>
      <c r="E71" s="2" t="s">
        <v>467</v>
      </c>
      <c r="G71" s="2" t="s">
        <v>867</v>
      </c>
      <c r="I71" s="2" t="s">
        <v>868</v>
      </c>
      <c r="M71" s="2" t="s">
        <v>869</v>
      </c>
      <c r="O71" s="2" t="s">
        <v>870</v>
      </c>
      <c r="Q71" s="2" t="s">
        <v>871</v>
      </c>
      <c r="U71" s="2" t="s">
        <v>872</v>
      </c>
      <c r="W71" s="29" t="s">
        <v>873</v>
      </c>
      <c r="Y71" s="29" t="s">
        <v>874</v>
      </c>
      <c r="AA71" s="2" t="s">
        <v>875</v>
      </c>
      <c r="AC71" s="2" t="s">
        <v>876</v>
      </c>
      <c r="AE71" s="2" t="s">
        <v>495</v>
      </c>
      <c r="AG71" s="2" t="s">
        <v>877</v>
      </c>
      <c r="AI71" s="2" t="s">
        <v>878</v>
      </c>
      <c r="AM71" s="29" t="s">
        <v>879</v>
      </c>
    </row>
    <row r="72" customFormat="false" ht="15" hidden="false" customHeight="true" outlineLevel="0" collapsed="false">
      <c r="A72" s="2" t="s">
        <v>642</v>
      </c>
      <c r="C72" s="2" t="s">
        <v>880</v>
      </c>
      <c r="G72" s="2" t="s">
        <v>441</v>
      </c>
      <c r="I72" s="2" t="s">
        <v>881</v>
      </c>
      <c r="K72" s="2" t="s">
        <v>369</v>
      </c>
      <c r="M72" s="2" t="s">
        <v>882</v>
      </c>
      <c r="O72" s="2" t="s">
        <v>883</v>
      </c>
      <c r="Q72" s="2" t="s">
        <v>884</v>
      </c>
      <c r="S72" s="29" t="s">
        <v>885</v>
      </c>
      <c r="U72" s="2" t="s">
        <v>851</v>
      </c>
      <c r="W72" s="2" t="s">
        <v>356</v>
      </c>
      <c r="Y72" s="2" t="s">
        <v>373</v>
      </c>
      <c r="AA72" s="2" t="s">
        <v>886</v>
      </c>
      <c r="AC72" s="2" t="s">
        <v>496</v>
      </c>
      <c r="AE72" s="2" t="s">
        <v>733</v>
      </c>
      <c r="AG72" s="2" t="s">
        <v>887</v>
      </c>
      <c r="AI72" s="2" t="s">
        <v>888</v>
      </c>
      <c r="AK72" s="29" t="s">
        <v>889</v>
      </c>
      <c r="AM72" s="2" t="s">
        <v>532</v>
      </c>
    </row>
    <row r="73" customFormat="false" ht="15" hidden="false" customHeight="true" outlineLevel="0" collapsed="false">
      <c r="A73" s="2" t="s">
        <v>655</v>
      </c>
      <c r="C73" s="2" t="s">
        <v>890</v>
      </c>
      <c r="E73" s="2" t="s">
        <v>802</v>
      </c>
      <c r="G73" s="2" t="s">
        <v>891</v>
      </c>
      <c r="I73" s="2" t="s">
        <v>674</v>
      </c>
      <c r="K73" s="2" t="s">
        <v>373</v>
      </c>
      <c r="M73" s="2" t="s">
        <v>892</v>
      </c>
      <c r="Q73" s="2" t="s">
        <v>496</v>
      </c>
      <c r="S73" s="33" t="s">
        <v>893</v>
      </c>
      <c r="U73" s="2" t="s">
        <v>862</v>
      </c>
      <c r="W73" s="2" t="s">
        <v>352</v>
      </c>
      <c r="Y73" s="2" t="s">
        <v>369</v>
      </c>
      <c r="AA73" s="2" t="s">
        <v>894</v>
      </c>
      <c r="AC73" s="2" t="s">
        <v>895</v>
      </c>
      <c r="AE73" s="2" t="s">
        <v>605</v>
      </c>
      <c r="AG73" s="2" t="s">
        <v>896</v>
      </c>
      <c r="AI73" s="2" t="s">
        <v>897</v>
      </c>
      <c r="AK73" s="2" t="s">
        <v>370</v>
      </c>
      <c r="AM73" s="2" t="s">
        <v>898</v>
      </c>
    </row>
    <row r="74" customFormat="false" ht="15" hidden="false" customHeight="true" outlineLevel="0" collapsed="false">
      <c r="A74" s="2" t="s">
        <v>697</v>
      </c>
      <c r="C74" s="2" t="s">
        <v>899</v>
      </c>
      <c r="E74" s="2" t="s">
        <v>447</v>
      </c>
      <c r="G74" s="2" t="s">
        <v>350</v>
      </c>
      <c r="K74" s="2" t="s">
        <v>376</v>
      </c>
      <c r="M74" s="2" t="s">
        <v>900</v>
      </c>
      <c r="O74" s="29" t="s">
        <v>901</v>
      </c>
      <c r="Q74" s="2" t="s">
        <v>895</v>
      </c>
      <c r="S74" s="2" t="s">
        <v>902</v>
      </c>
      <c r="Y74" s="2" t="s">
        <v>578</v>
      </c>
      <c r="AA74" s="2" t="s">
        <v>903</v>
      </c>
      <c r="AG74" s="2" t="s">
        <v>904</v>
      </c>
      <c r="AK74" s="2" t="s">
        <v>905</v>
      </c>
    </row>
    <row r="75" customFormat="false" ht="15" hidden="false" customHeight="true" outlineLevel="0" collapsed="false">
      <c r="A75" s="2" t="s">
        <v>584</v>
      </c>
      <c r="C75" s="2" t="s">
        <v>906</v>
      </c>
      <c r="E75" s="2" t="s">
        <v>441</v>
      </c>
      <c r="G75" s="2" t="s">
        <v>354</v>
      </c>
      <c r="K75" s="2" t="s">
        <v>379</v>
      </c>
      <c r="M75" s="2" t="s">
        <v>907</v>
      </c>
      <c r="O75" s="2" t="s">
        <v>908</v>
      </c>
      <c r="Q75" s="2" t="s">
        <v>909</v>
      </c>
      <c r="U75" s="29" t="s">
        <v>910</v>
      </c>
      <c r="W75" s="29" t="s">
        <v>911</v>
      </c>
      <c r="Y75" s="2" t="s">
        <v>591</v>
      </c>
      <c r="AA75" s="2" t="s">
        <v>758</v>
      </c>
      <c r="AE75" s="29" t="s">
        <v>633</v>
      </c>
      <c r="AG75" s="2" t="s">
        <v>912</v>
      </c>
      <c r="AK75" s="2" t="s">
        <v>377</v>
      </c>
    </row>
    <row r="76" customFormat="false" ht="15" hidden="false" customHeight="true" outlineLevel="0" collapsed="false">
      <c r="A76" s="2" t="s">
        <v>684</v>
      </c>
      <c r="C76" s="2" t="s">
        <v>913</v>
      </c>
      <c r="E76" s="2" t="s">
        <v>895</v>
      </c>
      <c r="G76" s="2" t="s">
        <v>362</v>
      </c>
      <c r="I76" s="2" t="s">
        <v>490</v>
      </c>
      <c r="O76" s="2" t="s">
        <v>914</v>
      </c>
      <c r="Q76" s="2" t="s">
        <v>915</v>
      </c>
      <c r="S76" s="29" t="s">
        <v>916</v>
      </c>
      <c r="U76" s="2" t="s">
        <v>532</v>
      </c>
      <c r="W76" s="2" t="s">
        <v>752</v>
      </c>
      <c r="AA76" s="2" t="s">
        <v>770</v>
      </c>
      <c r="AC76" s="29" t="s">
        <v>917</v>
      </c>
      <c r="AE76" s="2" t="s">
        <v>647</v>
      </c>
      <c r="AG76" s="2" t="s">
        <v>918</v>
      </c>
      <c r="AI76" s="29" t="s">
        <v>919</v>
      </c>
      <c r="AK76" s="2" t="s">
        <v>374</v>
      </c>
    </row>
    <row r="77" customFormat="false" ht="15" hidden="false" customHeight="true" outlineLevel="0" collapsed="false">
      <c r="A77" s="2" t="s">
        <v>627</v>
      </c>
      <c r="C77" s="2" t="s">
        <v>920</v>
      </c>
      <c r="G77" s="2" t="s">
        <v>921</v>
      </c>
      <c r="I77" s="2" t="s">
        <v>922</v>
      </c>
      <c r="M77" s="29" t="s">
        <v>923</v>
      </c>
      <c r="Q77" s="2" t="s">
        <v>924</v>
      </c>
      <c r="S77" s="2" t="s">
        <v>406</v>
      </c>
      <c r="U77" s="2" t="s">
        <v>389</v>
      </c>
      <c r="W77" s="2" t="s">
        <v>925</v>
      </c>
      <c r="Y77" s="29" t="s">
        <v>926</v>
      </c>
      <c r="AA77" s="2" t="s">
        <v>747</v>
      </c>
      <c r="AC77" s="2" t="n">
        <v>0</v>
      </c>
      <c r="AE77" s="2" t="s">
        <v>659</v>
      </c>
      <c r="AG77" s="2" t="s">
        <v>927</v>
      </c>
      <c r="AI77" s="2" t="s">
        <v>872</v>
      </c>
    </row>
    <row r="78" customFormat="false" ht="15" hidden="false" customHeight="true" outlineLevel="0" collapsed="false">
      <c r="A78" s="2" t="s">
        <v>571</v>
      </c>
      <c r="C78" s="2" t="s">
        <v>928</v>
      </c>
      <c r="G78" s="2" t="s">
        <v>929</v>
      </c>
      <c r="I78" s="2" t="s">
        <v>441</v>
      </c>
      <c r="K78" s="2" t="s">
        <v>930</v>
      </c>
      <c r="M78" s="2" t="s">
        <v>931</v>
      </c>
      <c r="O78" s="29" t="s">
        <v>932</v>
      </c>
      <c r="Q78" s="2" t="s">
        <v>933</v>
      </c>
      <c r="S78" s="2" t="s">
        <v>402</v>
      </c>
      <c r="U78" s="2" t="s">
        <v>386</v>
      </c>
      <c r="Y78" s="2" t="s">
        <v>934</v>
      </c>
      <c r="AA78" s="2" t="s">
        <v>780</v>
      </c>
      <c r="AC78" s="2" t="n">
        <v>9</v>
      </c>
      <c r="AE78" s="2" t="s">
        <v>670</v>
      </c>
      <c r="AG78" s="2" t="s">
        <v>935</v>
      </c>
      <c r="AI78" s="2" t="s">
        <v>851</v>
      </c>
      <c r="AK78" s="29" t="s">
        <v>936</v>
      </c>
    </row>
    <row r="79" customFormat="false" ht="15" hidden="false" customHeight="true" outlineLevel="0" collapsed="false">
      <c r="A79" s="2" t="s">
        <v>600</v>
      </c>
      <c r="C79" s="2" t="s">
        <v>937</v>
      </c>
      <c r="E79" s="2" t="s">
        <v>938</v>
      </c>
      <c r="G79" s="2" t="s">
        <v>939</v>
      </c>
      <c r="I79" s="2" t="s">
        <v>386</v>
      </c>
      <c r="K79" s="2" t="s">
        <v>441</v>
      </c>
      <c r="M79" s="2" t="s">
        <v>940</v>
      </c>
      <c r="O79" s="2" t="s">
        <v>870</v>
      </c>
      <c r="Q79" s="2" t="s">
        <v>941</v>
      </c>
      <c r="S79" s="2" t="s">
        <v>404</v>
      </c>
      <c r="W79" s="29" t="s">
        <v>942</v>
      </c>
      <c r="Y79" s="2" t="s">
        <v>943</v>
      </c>
      <c r="AC79" s="2" t="s">
        <v>944</v>
      </c>
      <c r="AE79" s="2" t="s">
        <v>678</v>
      </c>
      <c r="AG79" s="2" t="s">
        <v>945</v>
      </c>
      <c r="AI79" s="2" t="s">
        <v>862</v>
      </c>
      <c r="AK79" s="2" t="s">
        <v>946</v>
      </c>
    </row>
    <row r="80" customFormat="false" ht="15" hidden="false" customHeight="true" outlineLevel="0" collapsed="false">
      <c r="C80" s="2" t="s">
        <v>684</v>
      </c>
      <c r="E80" s="2" t="s">
        <v>947</v>
      </c>
      <c r="I80" s="2" t="s">
        <v>948</v>
      </c>
      <c r="K80" s="2" t="s">
        <v>949</v>
      </c>
      <c r="M80" s="2" t="s">
        <v>950</v>
      </c>
      <c r="O80" s="2" t="s">
        <v>883</v>
      </c>
      <c r="Q80" s="29" t="s">
        <v>951</v>
      </c>
      <c r="U80" s="29" t="s">
        <v>952</v>
      </c>
      <c r="W80" s="2" t="s">
        <v>441</v>
      </c>
      <c r="Y80" s="2" t="s">
        <v>953</v>
      </c>
      <c r="AA80" s="29" t="s">
        <v>954</v>
      </c>
      <c r="AC80" s="2" t="s">
        <v>955</v>
      </c>
      <c r="AG80" s="2" t="s">
        <v>956</v>
      </c>
      <c r="AK80" s="2" t="s">
        <v>441</v>
      </c>
    </row>
    <row r="81" customFormat="false" ht="15" hidden="false" customHeight="true" outlineLevel="0" collapsed="false">
      <c r="C81" s="2" t="s">
        <v>957</v>
      </c>
      <c r="E81" s="2" t="s">
        <v>958</v>
      </c>
      <c r="G81" s="29" t="s">
        <v>347</v>
      </c>
      <c r="K81" s="2" t="s">
        <v>959</v>
      </c>
      <c r="M81" s="2" t="s">
        <v>960</v>
      </c>
      <c r="Q81" s="2" t="s">
        <v>743</v>
      </c>
      <c r="S81" s="29" t="s">
        <v>961</v>
      </c>
      <c r="U81" s="2" t="s">
        <v>962</v>
      </c>
      <c r="W81" s="2" t="s">
        <v>963</v>
      </c>
      <c r="Y81" s="2" t="s">
        <v>964</v>
      </c>
      <c r="AA81" s="2" t="s">
        <v>965</v>
      </c>
      <c r="AE81" s="29"/>
      <c r="AG81" s="2" t="s">
        <v>966</v>
      </c>
      <c r="AK81" s="2" t="s">
        <v>543</v>
      </c>
    </row>
    <row r="82" customFormat="false" ht="15" hidden="false" customHeight="true" outlineLevel="0" collapsed="false">
      <c r="A82" s="2" t="s">
        <v>726</v>
      </c>
      <c r="C82" s="2" t="s">
        <v>967</v>
      </c>
      <c r="E82" s="2" t="s">
        <v>968</v>
      </c>
      <c r="G82" s="2" t="s">
        <v>351</v>
      </c>
      <c r="M82" s="2" t="s">
        <v>969</v>
      </c>
      <c r="O82" s="29" t="s">
        <v>970</v>
      </c>
      <c r="Q82" s="2" t="s">
        <v>755</v>
      </c>
      <c r="S82" s="2" t="s">
        <v>410</v>
      </c>
      <c r="U82" s="2" t="s">
        <v>441</v>
      </c>
      <c r="W82" s="2" t="s">
        <v>971</v>
      </c>
      <c r="Y82" s="2" t="s">
        <v>972</v>
      </c>
      <c r="AA82" s="2" t="s">
        <v>973</v>
      </c>
      <c r="AC82" s="29" t="s">
        <v>974</v>
      </c>
      <c r="AE82" s="2" t="s">
        <v>763</v>
      </c>
      <c r="AG82" s="2" t="s">
        <v>975</v>
      </c>
      <c r="AI82" s="29" t="s">
        <v>976</v>
      </c>
    </row>
    <row r="83" customFormat="false" ht="15" hidden="false" customHeight="true" outlineLevel="0" collapsed="false">
      <c r="A83" s="2" t="s">
        <v>754</v>
      </c>
      <c r="C83" s="2" t="s">
        <v>977</v>
      </c>
      <c r="G83" s="2" t="s">
        <v>355</v>
      </c>
      <c r="I83" s="2" t="s">
        <v>356</v>
      </c>
      <c r="O83" s="2" t="s">
        <v>382</v>
      </c>
      <c r="Q83" s="2" t="s">
        <v>978</v>
      </c>
      <c r="S83" s="2" t="s">
        <v>412</v>
      </c>
      <c r="U83" s="2" t="s">
        <v>979</v>
      </c>
      <c r="Y83" s="2" t="s">
        <v>980</v>
      </c>
      <c r="AC83" s="2" t="s">
        <v>981</v>
      </c>
      <c r="AE83" s="2" t="s">
        <v>982</v>
      </c>
      <c r="AG83" s="2" t="s">
        <v>983</v>
      </c>
      <c r="AI83" s="2" t="s">
        <v>984</v>
      </c>
      <c r="AK83" s="29" t="s">
        <v>985</v>
      </c>
    </row>
    <row r="84" customFormat="false" ht="15" hidden="false" customHeight="true" outlineLevel="0" collapsed="false">
      <c r="A84" s="2" t="s">
        <v>986</v>
      </c>
      <c r="C84" s="2" t="s">
        <v>987</v>
      </c>
      <c r="I84" s="2" t="s">
        <v>988</v>
      </c>
      <c r="K84" s="2" t="s">
        <v>644</v>
      </c>
      <c r="M84" s="29" t="s">
        <v>989</v>
      </c>
      <c r="O84" s="2" t="s">
        <v>384</v>
      </c>
      <c r="Q84" s="2" t="s">
        <v>990</v>
      </c>
      <c r="S84" s="2" t="s">
        <v>411</v>
      </c>
      <c r="W84" s="29" t="s">
        <v>991</v>
      </c>
      <c r="Y84" s="2" t="s">
        <v>992</v>
      </c>
      <c r="AA84" s="29" t="s">
        <v>993</v>
      </c>
      <c r="AG84" s="2" t="s">
        <v>994</v>
      </c>
      <c r="AI84" s="2" t="s">
        <v>995</v>
      </c>
      <c r="AK84" s="2" t="s">
        <v>996</v>
      </c>
    </row>
    <row r="85" customFormat="false" ht="15" hidden="false" customHeight="true" outlineLevel="0" collapsed="false">
      <c r="A85" s="2" t="s">
        <v>447</v>
      </c>
      <c r="C85" s="2" t="s">
        <v>997</v>
      </c>
      <c r="E85" s="2" t="s">
        <v>369</v>
      </c>
      <c r="I85" s="2" t="s">
        <v>998</v>
      </c>
      <c r="K85" s="2" t="s">
        <v>865</v>
      </c>
      <c r="M85" s="2" t="s">
        <v>999</v>
      </c>
      <c r="Q85" s="2" t="s">
        <v>1000</v>
      </c>
      <c r="S85" s="2" t="s">
        <v>413</v>
      </c>
      <c r="U85" s="29" t="s">
        <v>1001</v>
      </c>
      <c r="W85" s="2" t="s">
        <v>1002</v>
      </c>
      <c r="AA85" s="2" t="s">
        <v>356</v>
      </c>
      <c r="AC85" s="29" t="s">
        <v>1003</v>
      </c>
      <c r="AE85" s="29" t="s">
        <v>1004</v>
      </c>
      <c r="AG85" s="2" t="s">
        <v>1005</v>
      </c>
      <c r="AK85" s="2" t="s">
        <v>1006</v>
      </c>
    </row>
    <row r="86" customFormat="false" ht="15" hidden="false" customHeight="true" outlineLevel="0" collapsed="false">
      <c r="A86" s="2" t="s">
        <v>461</v>
      </c>
      <c r="E86" s="2" t="s">
        <v>373</v>
      </c>
      <c r="G86" s="2" t="s">
        <v>403</v>
      </c>
      <c r="K86" s="2" t="s">
        <v>1007</v>
      </c>
      <c r="M86" s="2" t="s">
        <v>1008</v>
      </c>
      <c r="O86" s="29" t="s">
        <v>387</v>
      </c>
      <c r="Q86" s="2" t="s">
        <v>618</v>
      </c>
      <c r="U86" s="2" t="s">
        <v>870</v>
      </c>
      <c r="W86" s="2" t="s">
        <v>1009</v>
      </c>
      <c r="Y86" s="29" t="s">
        <v>1010</v>
      </c>
      <c r="AA86" s="2" t="s">
        <v>352</v>
      </c>
      <c r="AC86" s="2" t="s">
        <v>1011</v>
      </c>
      <c r="AE86" s="2" t="s">
        <v>356</v>
      </c>
      <c r="AG86" s="2" t="s">
        <v>1012</v>
      </c>
      <c r="AK86" s="2" t="s">
        <v>948</v>
      </c>
    </row>
    <row r="87" customFormat="false" ht="15" hidden="false" customHeight="true" outlineLevel="0" collapsed="false">
      <c r="A87" s="2" t="s">
        <v>1013</v>
      </c>
      <c r="C87" s="2" t="s">
        <v>386</v>
      </c>
      <c r="E87" s="2" t="s">
        <v>591</v>
      </c>
      <c r="G87" s="2" t="s">
        <v>397</v>
      </c>
      <c r="K87" s="2" t="s">
        <v>1014</v>
      </c>
      <c r="M87" s="2" t="s">
        <v>1015</v>
      </c>
      <c r="O87" s="2" t="s">
        <v>390</v>
      </c>
      <c r="Q87" s="2" t="s">
        <v>1016</v>
      </c>
      <c r="S87" s="29" t="s">
        <v>1017</v>
      </c>
      <c r="U87" s="2" t="s">
        <v>830</v>
      </c>
      <c r="W87" s="2" t="s">
        <v>1018</v>
      </c>
      <c r="Y87" s="2" t="s">
        <v>1019</v>
      </c>
      <c r="AC87" s="2" t="s">
        <v>1020</v>
      </c>
      <c r="AE87" s="2" t="s">
        <v>441</v>
      </c>
      <c r="AG87" s="2" t="s">
        <v>1021</v>
      </c>
      <c r="AI87" s="29" t="s">
        <v>1022</v>
      </c>
    </row>
    <row r="88" customFormat="false" ht="15" hidden="false" customHeight="true" outlineLevel="0" collapsed="false">
      <c r="A88" s="2" t="s">
        <v>884</v>
      </c>
      <c r="C88" s="2" t="s">
        <v>532</v>
      </c>
      <c r="E88" s="2" t="s">
        <v>578</v>
      </c>
      <c r="G88" s="2" t="s">
        <v>400</v>
      </c>
      <c r="I88" s="2" t="s">
        <v>352</v>
      </c>
      <c r="M88" s="2" t="s">
        <v>1023</v>
      </c>
      <c r="O88" s="2" t="s">
        <v>392</v>
      </c>
      <c r="Q88" s="29" t="s">
        <v>1024</v>
      </c>
      <c r="S88" s="2" t="s">
        <v>356</v>
      </c>
      <c r="U88" s="2" t="s">
        <v>441</v>
      </c>
      <c r="Y88" s="2" t="s">
        <v>1025</v>
      </c>
      <c r="AA88" s="29" t="s">
        <v>425</v>
      </c>
      <c r="AC88" s="2" t="s">
        <v>1026</v>
      </c>
      <c r="AG88" s="2" t="s">
        <v>1027</v>
      </c>
      <c r="AI88" s="2" t="s">
        <v>895</v>
      </c>
      <c r="AK88" s="29" t="s">
        <v>1028</v>
      </c>
    </row>
    <row r="89" customFormat="false" ht="15" hidden="false" customHeight="true" outlineLevel="0" collapsed="false">
      <c r="A89" s="2" t="s">
        <v>915</v>
      </c>
      <c r="E89" s="2" t="s">
        <v>606</v>
      </c>
      <c r="I89" s="2" t="s">
        <v>543</v>
      </c>
      <c r="M89" s="2" t="s">
        <v>1029</v>
      </c>
      <c r="O89" s="2" t="s">
        <v>394</v>
      </c>
      <c r="Q89" s="2" t="s">
        <v>441</v>
      </c>
      <c r="S89" s="2" t="s">
        <v>441</v>
      </c>
      <c r="U89" s="2" t="s">
        <v>840</v>
      </c>
      <c r="W89" s="29" t="s">
        <v>1030</v>
      </c>
      <c r="Y89" s="2" t="s">
        <v>1031</v>
      </c>
      <c r="AA89" s="2" t="s">
        <v>535</v>
      </c>
      <c r="AG89" s="2" t="s">
        <v>1032</v>
      </c>
      <c r="AI89" s="2" t="s">
        <v>1033</v>
      </c>
      <c r="AK89" s="2" t="s">
        <v>868</v>
      </c>
    </row>
    <row r="90" customFormat="false" ht="15" hidden="false" customHeight="true" outlineLevel="0" collapsed="false">
      <c r="A90" s="2" t="s">
        <v>430</v>
      </c>
      <c r="G90" s="29" t="s">
        <v>385</v>
      </c>
      <c r="I90" s="2" t="s">
        <v>1034</v>
      </c>
      <c r="K90" s="2" t="s">
        <v>948</v>
      </c>
      <c r="M90" s="2" t="s">
        <v>1035</v>
      </c>
      <c r="Q90" s="2" t="s">
        <v>271</v>
      </c>
      <c r="S90" s="2" t="s">
        <v>1036</v>
      </c>
      <c r="U90" s="2" t="s">
        <v>883</v>
      </c>
      <c r="W90" s="2" t="s">
        <v>965</v>
      </c>
      <c r="Y90" s="2" t="s">
        <v>1037</v>
      </c>
      <c r="AA90" s="2" t="s">
        <v>1038</v>
      </c>
      <c r="AC90" s="29" t="s">
        <v>1039</v>
      </c>
      <c r="AE90" s="29" t="s">
        <v>1040</v>
      </c>
      <c r="AG90" s="2" t="s">
        <v>1041</v>
      </c>
      <c r="AK90" s="2" t="s">
        <v>881</v>
      </c>
    </row>
    <row r="91" customFormat="false" ht="15" hidden="false" customHeight="true" outlineLevel="0" collapsed="false">
      <c r="A91" s="2" t="s">
        <v>768</v>
      </c>
      <c r="C91" s="2" t="s">
        <v>1042</v>
      </c>
      <c r="G91" s="2" t="s">
        <v>391</v>
      </c>
      <c r="K91" s="2" t="s">
        <v>996</v>
      </c>
      <c r="O91" s="29" t="s">
        <v>1043</v>
      </c>
      <c r="Q91" s="2" t="s">
        <v>1044</v>
      </c>
      <c r="S91" s="2" t="s">
        <v>1045</v>
      </c>
      <c r="W91" s="2" t="s">
        <v>973</v>
      </c>
      <c r="AC91" s="2" t="s">
        <v>490</v>
      </c>
      <c r="AE91" s="1" t="s">
        <v>495</v>
      </c>
      <c r="AG91" s="2" t="s">
        <v>1046</v>
      </c>
      <c r="AK91" s="2" t="s">
        <v>674</v>
      </c>
    </row>
    <row r="92" customFormat="false" ht="15" hidden="false" customHeight="true" outlineLevel="0" collapsed="false">
      <c r="A92" s="2" t="s">
        <v>689</v>
      </c>
      <c r="C92" s="2" t="s">
        <v>1047</v>
      </c>
      <c r="E92" s="2" t="s">
        <v>934</v>
      </c>
      <c r="G92" s="2" t="s">
        <v>1048</v>
      </c>
      <c r="M92" s="29" t="s">
        <v>1049</v>
      </c>
      <c r="O92" s="33" t="s">
        <v>1050</v>
      </c>
      <c r="U92" s="29" t="s">
        <v>1051</v>
      </c>
      <c r="Y92" s="29" t="s">
        <v>1052</v>
      </c>
      <c r="AA92" s="29" t="s">
        <v>1053</v>
      </c>
      <c r="AC92" s="2" t="s">
        <v>1054</v>
      </c>
      <c r="AE92" s="1" t="s">
        <v>810</v>
      </c>
      <c r="AG92" s="2" t="s">
        <v>1055</v>
      </c>
      <c r="AI92" s="29" t="s">
        <v>1056</v>
      </c>
    </row>
    <row r="93" customFormat="false" ht="15" hidden="false" customHeight="true" outlineLevel="0" collapsed="false">
      <c r="A93" s="2" t="s">
        <v>486</v>
      </c>
      <c r="C93" s="2" t="s">
        <v>1057</v>
      </c>
      <c r="E93" s="2" t="s">
        <v>943</v>
      </c>
      <c r="G93" s="2" t="s">
        <v>393</v>
      </c>
      <c r="I93" s="2" t="s">
        <v>1058</v>
      </c>
      <c r="M93" s="2" t="s">
        <v>605</v>
      </c>
      <c r="O93" s="2" t="s">
        <v>1059</v>
      </c>
      <c r="Q93" s="29" t="s">
        <v>1060</v>
      </c>
      <c r="S93" s="29" t="s">
        <v>1061</v>
      </c>
      <c r="U93" s="2" t="s">
        <v>351</v>
      </c>
      <c r="W93" s="29" t="s">
        <v>1062</v>
      </c>
      <c r="Y93" s="2" t="s">
        <v>474</v>
      </c>
      <c r="AA93" s="2" t="s">
        <v>1063</v>
      </c>
      <c r="AC93" s="2" t="s">
        <v>1064</v>
      </c>
      <c r="AG93" s="2" t="s">
        <v>1065</v>
      </c>
      <c r="AI93" s="2" t="s">
        <v>373</v>
      </c>
      <c r="AK93" s="29" t="s">
        <v>985</v>
      </c>
    </row>
    <row r="94" customFormat="false" ht="15" hidden="false" customHeight="true" outlineLevel="0" collapsed="false">
      <c r="A94" s="2" t="s">
        <v>496</v>
      </c>
      <c r="C94" s="2" t="s">
        <v>1066</v>
      </c>
      <c r="E94" s="2" t="s">
        <v>953</v>
      </c>
      <c r="G94" s="2" t="s">
        <v>1067</v>
      </c>
      <c r="I94" s="2" t="s">
        <v>1068</v>
      </c>
      <c r="K94" s="2" t="s">
        <v>1069</v>
      </c>
      <c r="M94" s="2" t="s">
        <v>1070</v>
      </c>
      <c r="Q94" s="2" t="s">
        <v>1071</v>
      </c>
      <c r="S94" s="2" t="s">
        <v>1072</v>
      </c>
      <c r="U94" s="2" t="s">
        <v>355</v>
      </c>
      <c r="W94" s="2" t="s">
        <v>441</v>
      </c>
      <c r="Y94" s="2" t="s">
        <v>1073</v>
      </c>
      <c r="AA94" s="2" t="s">
        <v>1074</v>
      </c>
      <c r="AG94" s="2" t="s">
        <v>1075</v>
      </c>
      <c r="AI94" s="2" t="s">
        <v>369</v>
      </c>
      <c r="AK94" s="2" t="s">
        <v>948</v>
      </c>
    </row>
    <row r="95" customFormat="false" ht="15" hidden="false" customHeight="true" outlineLevel="0" collapsed="false">
      <c r="A95" s="2" t="s">
        <v>841</v>
      </c>
      <c r="C95" s="2" t="s">
        <v>1076</v>
      </c>
      <c r="E95" s="2" t="s">
        <v>964</v>
      </c>
      <c r="G95" s="2" t="s">
        <v>396</v>
      </c>
      <c r="I95" s="2" t="s">
        <v>1077</v>
      </c>
      <c r="K95" s="2" t="s">
        <v>1078</v>
      </c>
      <c r="M95" s="2" t="s">
        <v>1079</v>
      </c>
      <c r="O95" s="29" t="s">
        <v>1080</v>
      </c>
      <c r="Q95" s="2" t="s">
        <v>1081</v>
      </c>
      <c r="S95" s="2" t="s">
        <v>1082</v>
      </c>
      <c r="W95" s="2" t="s">
        <v>1083</v>
      </c>
      <c r="AG95" s="2" t="s">
        <v>1084</v>
      </c>
      <c r="AI95" s="2" t="s">
        <v>591</v>
      </c>
      <c r="AK95" s="2" t="s">
        <v>1085</v>
      </c>
    </row>
    <row r="96" customFormat="false" ht="15" hidden="false" customHeight="true" outlineLevel="0" collapsed="false">
      <c r="C96" s="2" t="s">
        <v>1086</v>
      </c>
      <c r="E96" s="2" t="s">
        <v>972</v>
      </c>
      <c r="G96" s="2" t="s">
        <v>398</v>
      </c>
      <c r="I96" s="2" t="s">
        <v>1087</v>
      </c>
      <c r="K96" s="2" t="s">
        <v>1088</v>
      </c>
      <c r="O96" s="2" t="s">
        <v>370</v>
      </c>
      <c r="U96" s="29" t="s">
        <v>1089</v>
      </c>
      <c r="W96" s="2" t="s">
        <v>1090</v>
      </c>
      <c r="AA96" s="29" t="s">
        <v>1091</v>
      </c>
      <c r="AC96" s="29" t="s">
        <v>1092</v>
      </c>
      <c r="AE96" s="29" t="s">
        <v>1093</v>
      </c>
      <c r="AG96" s="2" t="s">
        <v>1094</v>
      </c>
    </row>
    <row r="97" customFormat="false" ht="15" hidden="false" customHeight="true" outlineLevel="0" collapsed="false">
      <c r="E97" s="2" t="s">
        <v>980</v>
      </c>
      <c r="G97" s="2" t="s">
        <v>401</v>
      </c>
      <c r="I97" s="2" t="s">
        <v>1095</v>
      </c>
      <c r="K97" s="2" t="s">
        <v>1007</v>
      </c>
      <c r="O97" s="2" t="s">
        <v>377</v>
      </c>
      <c r="Q97" s="29" t="s">
        <v>1096</v>
      </c>
      <c r="U97" s="2" t="s">
        <v>1072</v>
      </c>
      <c r="W97" s="2" t="s">
        <v>1097</v>
      </c>
      <c r="AA97" s="2" t="s">
        <v>1058</v>
      </c>
      <c r="AC97" s="2" t="s">
        <v>1098</v>
      </c>
      <c r="AE97" s="2" t="s">
        <v>1099</v>
      </c>
      <c r="AG97" s="2" t="s">
        <v>1100</v>
      </c>
      <c r="AK97" s="34" t="s">
        <v>1101</v>
      </c>
    </row>
    <row r="98" customFormat="false" ht="15" hidden="false" customHeight="true" outlineLevel="0" collapsed="false">
      <c r="C98" s="29" t="s">
        <v>1102</v>
      </c>
      <c r="E98" s="2" t="s">
        <v>992</v>
      </c>
      <c r="G98" s="2" t="s">
        <v>388</v>
      </c>
      <c r="O98" s="2" t="s">
        <v>374</v>
      </c>
      <c r="Q98" s="2" t="s">
        <v>1103</v>
      </c>
      <c r="U98" s="2" t="s">
        <v>1082</v>
      </c>
      <c r="AA98" s="2" t="s">
        <v>1104</v>
      </c>
      <c r="AC98" s="2" t="s">
        <v>1105</v>
      </c>
      <c r="AE98" s="2" t="s">
        <v>1106</v>
      </c>
      <c r="AG98" s="2" t="s">
        <v>1107</v>
      </c>
      <c r="AI98" s="29" t="s">
        <v>1108</v>
      </c>
      <c r="AK98" s="32" t="s">
        <v>352</v>
      </c>
    </row>
    <row r="99" customFormat="false" ht="15" hidden="false" customHeight="true" outlineLevel="0" collapsed="false">
      <c r="C99" s="2" t="s">
        <v>1109</v>
      </c>
      <c r="Q99" s="2" t="s">
        <v>1110</v>
      </c>
      <c r="AA99" s="2" t="s">
        <v>441</v>
      </c>
      <c r="AC99" s="2" t="s">
        <v>1111</v>
      </c>
      <c r="AE99" s="2" t="s">
        <v>1098</v>
      </c>
      <c r="AG99" s="2" t="s">
        <v>1112</v>
      </c>
      <c r="AI99" s="2" t="s">
        <v>388</v>
      </c>
      <c r="AK99" s="32" t="s">
        <v>783</v>
      </c>
    </row>
    <row r="100" customFormat="false" ht="15" hidden="false" customHeight="true" outlineLevel="0" collapsed="false">
      <c r="AA100" s="2" t="s">
        <v>1113</v>
      </c>
      <c r="AC100" s="2" t="s">
        <v>464</v>
      </c>
      <c r="AE100" s="2" t="s">
        <v>1105</v>
      </c>
      <c r="AG100" s="2" t="s">
        <v>1114</v>
      </c>
      <c r="AI100" s="2" t="s">
        <v>644</v>
      </c>
      <c r="AK100" s="32" t="s">
        <v>795</v>
      </c>
    </row>
    <row r="101" customFormat="false" ht="15" hidden="false" customHeight="true" outlineLevel="0" collapsed="false">
      <c r="AA101" s="2" t="s">
        <v>1095</v>
      </c>
      <c r="AC101" s="2" t="s">
        <v>1115</v>
      </c>
      <c r="AE101" s="2" t="s">
        <v>1115</v>
      </c>
      <c r="AG101" s="2" t="s">
        <v>1116</v>
      </c>
      <c r="AI101" s="2" t="s">
        <v>865</v>
      </c>
      <c r="AK101" s="32" t="s">
        <v>809</v>
      </c>
    </row>
    <row r="102" customFormat="false" ht="15" hidden="false" customHeight="true" outlineLevel="0" collapsed="false">
      <c r="AC102" s="2" t="s">
        <v>476</v>
      </c>
      <c r="AE102" s="2" t="s">
        <v>476</v>
      </c>
      <c r="AG102" s="2" t="s">
        <v>1117</v>
      </c>
      <c r="AI102" s="2" t="s">
        <v>386</v>
      </c>
    </row>
    <row r="103" customFormat="false" ht="15" hidden="false" customHeight="true" outlineLevel="0" collapsed="false">
      <c r="AC103" s="2" t="s">
        <v>488</v>
      </c>
      <c r="AE103" s="2" t="s">
        <v>488</v>
      </c>
      <c r="AG103" s="2" t="s">
        <v>1118</v>
      </c>
      <c r="AI103" s="2" t="s">
        <v>1119</v>
      </c>
      <c r="AK103" s="34" t="s">
        <v>1120</v>
      </c>
    </row>
    <row r="104" customFormat="false" ht="15" hidden="false" customHeight="true" outlineLevel="0" collapsed="false">
      <c r="AG104" s="2" t="s">
        <v>1121</v>
      </c>
      <c r="AI104" s="2" t="s">
        <v>1122</v>
      </c>
      <c r="AK104" s="32" t="s">
        <v>963</v>
      </c>
    </row>
    <row r="105" customFormat="false" ht="15" hidden="false" customHeight="true" outlineLevel="0" collapsed="false">
      <c r="AG105" s="2" t="s">
        <v>1123</v>
      </c>
      <c r="AI105" s="2" t="s">
        <v>996</v>
      </c>
      <c r="AK105" s="32" t="s">
        <v>971</v>
      </c>
    </row>
    <row r="106" customFormat="false" ht="15" hidden="false" customHeight="true" outlineLevel="0" collapsed="false">
      <c r="AG106" s="2" t="s">
        <v>1124</v>
      </c>
    </row>
    <row r="107" customFormat="false" ht="15" hidden="false" customHeight="true" outlineLevel="0" collapsed="false">
      <c r="AG107" s="2" t="s">
        <v>1125</v>
      </c>
      <c r="AK107" s="34" t="s">
        <v>1126</v>
      </c>
    </row>
    <row r="108" customFormat="false" ht="15" hidden="false" customHeight="true" outlineLevel="0" collapsed="false">
      <c r="AG108" s="2" t="s">
        <v>1127</v>
      </c>
      <c r="AI108" s="29" t="s">
        <v>1128</v>
      </c>
      <c r="AK108" s="32" t="s">
        <v>352</v>
      </c>
    </row>
    <row r="109" customFormat="false" ht="15" hidden="false" customHeight="true" outlineLevel="0" collapsed="false">
      <c r="AG109" s="2" t="s">
        <v>1129</v>
      </c>
      <c r="AI109" s="2" t="s">
        <v>441</v>
      </c>
      <c r="AK109" s="32" t="s">
        <v>543</v>
      </c>
    </row>
    <row r="110" customFormat="false" ht="15" hidden="false" customHeight="true" outlineLevel="0" collapsed="false">
      <c r="AG110" s="2" t="s">
        <v>1130</v>
      </c>
      <c r="AI110" s="2" t="s">
        <v>457</v>
      </c>
      <c r="AK110" s="32" t="s">
        <v>1034</v>
      </c>
    </row>
    <row r="111" customFormat="false" ht="15" hidden="false" customHeight="true" outlineLevel="0" collapsed="false">
      <c r="AG111" s="2" t="s">
        <v>1131</v>
      </c>
      <c r="AI111" s="2" t="s">
        <v>1132</v>
      </c>
      <c r="AK111" s="32" t="s">
        <v>1038</v>
      </c>
    </row>
    <row r="112" customFormat="false" ht="15" hidden="false" customHeight="true" outlineLevel="0" collapsed="false">
      <c r="AG112" s="2" t="s">
        <v>1133</v>
      </c>
      <c r="AK112" s="34" t="s">
        <v>1134</v>
      </c>
    </row>
    <row r="113" customFormat="false" ht="15" hidden="false" customHeight="true" outlineLevel="0" collapsed="false">
      <c r="AG113" s="2" t="s">
        <v>1135</v>
      </c>
      <c r="AK113" s="32" t="s">
        <v>1136</v>
      </c>
    </row>
    <row r="114" customFormat="false" ht="15" hidden="false" customHeight="true" outlineLevel="0" collapsed="false">
      <c r="AG114" s="2" t="s">
        <v>1137</v>
      </c>
      <c r="AI114" s="29" t="s">
        <v>942</v>
      </c>
      <c r="AK114" s="32" t="s">
        <v>1138</v>
      </c>
    </row>
    <row r="115" customFormat="false" ht="15" hidden="false" customHeight="true" outlineLevel="0" collapsed="false">
      <c r="AG115" s="2" t="s">
        <v>1139</v>
      </c>
      <c r="AI115" s="2" t="s">
        <v>441</v>
      </c>
      <c r="AK115" s="32" t="s">
        <v>1140</v>
      </c>
    </row>
    <row r="116" customFormat="false" ht="15" hidden="false" customHeight="true" outlineLevel="0" collapsed="false">
      <c r="AG116" s="2" t="s">
        <v>1141</v>
      </c>
      <c r="AI116" s="2" t="s">
        <v>1018</v>
      </c>
    </row>
    <row r="117" customFormat="false" ht="15" hidden="false" customHeight="true" outlineLevel="0" collapsed="false">
      <c r="AG117" s="2" t="s">
        <v>1142</v>
      </c>
      <c r="AI117" s="2" t="s">
        <v>1143</v>
      </c>
      <c r="AK117" s="34" t="s">
        <v>1144</v>
      </c>
    </row>
    <row r="118" customFormat="false" ht="15" hidden="false" customHeight="true" outlineLevel="0" collapsed="false">
      <c r="AG118" s="2" t="s">
        <v>1145</v>
      </c>
      <c r="AK118" s="32" t="s">
        <v>1146</v>
      </c>
    </row>
    <row r="119" customFormat="false" ht="15" hidden="false" customHeight="true" outlineLevel="0" collapsed="false">
      <c r="AG119" s="2" t="s">
        <v>1147</v>
      </c>
      <c r="AI119" s="29" t="s">
        <v>991</v>
      </c>
      <c r="AK119" s="32" t="s">
        <v>657</v>
      </c>
    </row>
    <row r="120" customFormat="false" ht="15" hidden="false" customHeight="true" outlineLevel="0" collapsed="false">
      <c r="AG120" s="2" t="s">
        <v>1148</v>
      </c>
      <c r="AI120" s="2" t="s">
        <v>441</v>
      </c>
      <c r="AK120" s="32" t="s">
        <v>501</v>
      </c>
    </row>
    <row r="121" customFormat="false" ht="15" hidden="false" customHeight="true" outlineLevel="0" collapsed="false">
      <c r="AG121" s="2" t="s">
        <v>1149</v>
      </c>
      <c r="AI121" s="2" t="s">
        <v>1018</v>
      </c>
    </row>
    <row r="122" customFormat="false" ht="15" hidden="false" customHeight="true" outlineLevel="0" collapsed="false">
      <c r="AG122" s="2" t="s">
        <v>1150</v>
      </c>
      <c r="AI122" s="2" t="s">
        <v>1143</v>
      </c>
      <c r="AK122" s="34" t="s">
        <v>501</v>
      </c>
    </row>
    <row r="123" customFormat="false" ht="15" hidden="false" customHeight="true" outlineLevel="0" collapsed="false">
      <c r="AG123" s="2" t="s">
        <v>1151</v>
      </c>
      <c r="AK123" s="32" t="s">
        <v>577</v>
      </c>
    </row>
    <row r="124" customFormat="false" ht="15" hidden="false" customHeight="true" outlineLevel="0" collapsed="false">
      <c r="AG124" s="2" t="s">
        <v>1152</v>
      </c>
      <c r="AK124" s="32" t="s">
        <v>878</v>
      </c>
    </row>
    <row r="125" customFormat="false" ht="15" hidden="false" customHeight="true" outlineLevel="0" collapsed="false">
      <c r="AG125" s="2" t="s">
        <v>1153</v>
      </c>
      <c r="AI125" s="29" t="s">
        <v>1154</v>
      </c>
    </row>
    <row r="126" customFormat="false" ht="15" hidden="false" customHeight="true" outlineLevel="0" collapsed="false">
      <c r="AG126" s="2" t="s">
        <v>1155</v>
      </c>
      <c r="AI126" s="2" t="s">
        <v>1156</v>
      </c>
    </row>
    <row r="127" customFormat="false" ht="15" hidden="false" customHeight="true" outlineLevel="0" collapsed="false">
      <c r="AG127" s="2" t="s">
        <v>1157</v>
      </c>
      <c r="AI127" s="2" t="s">
        <v>1158</v>
      </c>
      <c r="AK127" s="34" t="s">
        <v>1159</v>
      </c>
    </row>
    <row r="128" customFormat="false" ht="15" hidden="false" customHeight="true" outlineLevel="0" collapsed="false">
      <c r="AG128" s="2" t="s">
        <v>1160</v>
      </c>
      <c r="AI128" s="2" t="s">
        <v>1161</v>
      </c>
      <c r="AK128" s="32" t="s">
        <v>1162</v>
      </c>
    </row>
    <row r="129" customFormat="false" ht="15" hidden="false" customHeight="true" outlineLevel="0" collapsed="false">
      <c r="AG129" s="2" t="s">
        <v>1163</v>
      </c>
      <c r="AI129" s="2" t="s">
        <v>1164</v>
      </c>
      <c r="AK129" s="32" t="s">
        <v>1165</v>
      </c>
    </row>
    <row r="130" customFormat="false" ht="15" hidden="false" customHeight="true" outlineLevel="0" collapsed="false">
      <c r="AG130" s="2" t="s">
        <v>1166</v>
      </c>
    </row>
    <row r="131" customFormat="false" ht="15" hidden="false" customHeight="true" outlineLevel="0" collapsed="false">
      <c r="AG131" s="2" t="s">
        <v>1167</v>
      </c>
      <c r="AK131" s="15" t="s">
        <v>425</v>
      </c>
    </row>
    <row r="132" customFormat="false" ht="15" hidden="false" customHeight="true" outlineLevel="0" collapsed="false">
      <c r="AG132" s="2" t="s">
        <v>1168</v>
      </c>
      <c r="AI132" s="29" t="s">
        <v>1169</v>
      </c>
      <c r="AK132" s="32" t="s">
        <v>535</v>
      </c>
    </row>
    <row r="133" customFormat="false" ht="15" hidden="false" customHeight="true" outlineLevel="0" collapsed="false">
      <c r="AG133" s="2" t="s">
        <v>1170</v>
      </c>
      <c r="AI133" s="2" t="s">
        <v>490</v>
      </c>
      <c r="AK133" s="32" t="s">
        <v>1038</v>
      </c>
    </row>
    <row r="134" customFormat="false" ht="15" hidden="false" customHeight="true" outlineLevel="0" collapsed="false">
      <c r="AG134" s="2" t="s">
        <v>1171</v>
      </c>
      <c r="AI134" s="2" t="s">
        <v>1172</v>
      </c>
    </row>
    <row r="135" customFormat="false" ht="15" hidden="false" customHeight="true" outlineLevel="0" collapsed="false">
      <c r="AG135" s="2" t="s">
        <v>1173</v>
      </c>
      <c r="AI135" s="2" t="s">
        <v>922</v>
      </c>
    </row>
    <row r="136" customFormat="false" ht="15" hidden="false" customHeight="true" outlineLevel="0" collapsed="false">
      <c r="AI136" s="2" t="s">
        <v>1174</v>
      </c>
    </row>
  </sheetData>
  <autoFilter ref="C26:C30"/>
  <dataValidations count="1">
    <dataValidation allowBlank="true" errorStyle="stop" operator="between" showDropDown="false" showErrorMessage="true" showInputMessage="true" sqref="AI52:AI53" type="list">
      <formula1>"Automatic,Manual"</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0" activePane="bottomRight" state="frozen"/>
      <selection pane="topLeft" activeCell="A1" activeCellId="0" sqref="A1"/>
      <selection pane="topRight" activeCell="C1" activeCellId="0" sqref="C1"/>
      <selection pane="bottomLeft" activeCell="A20" activeCellId="0" sqref="A20"/>
      <selection pane="bottomRight" activeCell="A21" activeCellId="0" sqref="A21"/>
    </sheetView>
  </sheetViews>
  <sheetFormatPr defaultColWidth="9.36328125" defaultRowHeight="15" customHeight="true" zeroHeight="false" outlineLevelRow="0" outlineLevelCol="0"/>
  <cols>
    <col collapsed="false" customWidth="true" hidden="false" outlineLevel="0" max="1" min="1" style="1" width="52.54"/>
    <col collapsed="false" customWidth="true" hidden="false" outlineLevel="0" max="2" min="2" style="1" width="24.45"/>
    <col collapsed="false" customWidth="true" hidden="false" outlineLevel="0" max="3" min="3" style="1" width="10.45"/>
    <col collapsed="false" customWidth="true" hidden="false" outlineLevel="0" max="4" min="4" style="1" width="48"/>
    <col collapsed="false" customWidth="false" hidden="false" outlineLevel="0" max="5" min="5" style="1" width="9.36"/>
    <col collapsed="false" customWidth="true" hidden="false" outlineLevel="0" max="6" min="6" style="1" width="11.54"/>
    <col collapsed="false" customWidth="true" hidden="false" outlineLevel="0" max="7" min="7" style="1" width="12.36"/>
    <col collapsed="false" customWidth="false" hidden="false" outlineLevel="0" max="16384" min="8" style="1" width="9.36"/>
  </cols>
  <sheetData>
    <row r="1" s="30" customFormat="true" ht="15" hidden="false" customHeight="true" outlineLevel="0" collapsed="false">
      <c r="A1" s="15" t="s">
        <v>1175</v>
      </c>
      <c r="B1" s="15" t="s">
        <v>1011</v>
      </c>
      <c r="C1" s="15" t="s">
        <v>1176</v>
      </c>
      <c r="D1" s="15" t="s">
        <v>313</v>
      </c>
    </row>
  </sheetData>
  <dataValidations count="1">
    <dataValidation allowBlank="true" errorStyle="stop" operator="between" showDropDown="false" showErrorMessage="true" showInputMessage="true" sqref="C2:C12 C15:C17 C23 C26:C34 C37:C46 C48:C1001" type="list">
      <formula1>Enums!$A$38:$A$44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35" activeCellId="0" sqref="B35"/>
    </sheetView>
  </sheetViews>
  <sheetFormatPr defaultColWidth="9.36328125" defaultRowHeight="15" customHeight="true" zeroHeight="false" outlineLevelRow="0" outlineLevelCol="0"/>
  <cols>
    <col collapsed="false" customWidth="true" hidden="false" outlineLevel="0" max="1" min="1" style="35" width="41.54"/>
    <col collapsed="false" customWidth="true" hidden="false" outlineLevel="0" max="2" min="2" style="35" width="11.36"/>
    <col collapsed="false" customWidth="true" hidden="false" outlineLevel="0" max="3" min="3" style="35" width="17"/>
    <col collapsed="false" customWidth="true" hidden="false" outlineLevel="0" max="4" min="4" style="35" width="14.54"/>
    <col collapsed="false" customWidth="true" hidden="false" outlineLevel="0" max="5" min="5" style="35" width="22.36"/>
    <col collapsed="false" customWidth="true" hidden="false" outlineLevel="0" max="6" min="6" style="35" width="7.54"/>
    <col collapsed="false" customWidth="true" hidden="false" outlineLevel="0" max="7" min="7" style="35" width="41.63"/>
    <col collapsed="false" customWidth="true" hidden="false" outlineLevel="0" max="8" min="8" style="35" width="12.54"/>
    <col collapsed="false" customWidth="true" hidden="false" outlineLevel="0" max="9" min="9" style="35" width="20.36"/>
    <col collapsed="false" customWidth="true" hidden="false" outlineLevel="0" max="10" min="10" style="35" width="13.54"/>
    <col collapsed="false" customWidth="false" hidden="false" outlineLevel="0" max="16384" min="11" style="35" width="9.36"/>
  </cols>
  <sheetData>
    <row r="1" customFormat="false" ht="15" hidden="false" customHeight="true" outlineLevel="0" collapsed="false">
      <c r="A1" s="15" t="s">
        <v>1011</v>
      </c>
      <c r="B1" s="15" t="s">
        <v>2</v>
      </c>
      <c r="C1" s="15" t="s">
        <v>1177</v>
      </c>
      <c r="D1" s="15" t="s">
        <v>1178</v>
      </c>
      <c r="E1" s="15" t="s">
        <v>1179</v>
      </c>
      <c r="F1" s="15" t="s">
        <v>1180</v>
      </c>
      <c r="G1" s="15" t="s">
        <v>1181</v>
      </c>
    </row>
  </sheetData>
  <dataValidations count="3">
    <dataValidation allowBlank="true" errorStyle="stop" operator="greaterThanOrEqual" showDropDown="false" showErrorMessage="true" showInputMessage="true" sqref="C1" type="none">
      <formula1>0</formula1>
      <formula2>0</formula2>
    </dataValidation>
    <dataValidation allowBlank="true" error="Whole Numbers Only" errorStyle="stop" errorTitle="Whole Numbers Only" operator="greaterThanOrEqual" showDropDown="false" showErrorMessage="true" showInputMessage="true" sqref="C8:C1001" type="whole">
      <formula1>0</formula1>
      <formula2>0</formula2>
    </dataValidation>
    <dataValidation allowBlank="true" errorStyle="stop" operator="between" showDropDown="false" showErrorMessage="true" showInputMessage="true" sqref="E2:F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137" activePane="bottomRight" state="frozen"/>
      <selection pane="topLeft" activeCell="A1" activeCellId="0" sqref="A1"/>
      <selection pane="topRight" activeCell="B1" activeCellId="0" sqref="B1"/>
      <selection pane="bottomLeft" activeCell="A137" activeCellId="0" sqref="A137"/>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1" width="59.36"/>
    <col collapsed="false" customWidth="true" hidden="false" outlineLevel="0" max="2" min="2" style="1" width="87.45"/>
    <col collapsed="false" customWidth="true" hidden="false" outlineLevel="0" max="3" min="3" style="1" width="35"/>
    <col collapsed="false" customWidth="true" hidden="false" outlineLevel="0" max="4" min="4" style="1" width="20.54"/>
    <col collapsed="false" customWidth="true" hidden="false" outlineLevel="0" max="5" min="5" style="1" width="14.45"/>
    <col collapsed="false" customWidth="true" hidden="false" outlineLevel="0" max="6" min="6" style="1" width="18.36"/>
    <col collapsed="false" customWidth="true" hidden="false" outlineLevel="0" max="7" min="7" style="1" width="10.45"/>
    <col collapsed="false" customWidth="true" hidden="false" outlineLevel="0" max="8" min="8" style="1" width="14.36"/>
    <col collapsed="false" customWidth="true" hidden="false" outlineLevel="0" max="9" min="9" style="1" width="15"/>
    <col collapsed="false" customWidth="true" hidden="false" outlineLevel="0" max="10" min="10" style="1" width="31.45"/>
    <col collapsed="false" customWidth="false" hidden="false" outlineLevel="0" max="16384" min="11" style="1" width="9.36"/>
  </cols>
  <sheetData>
    <row r="1" s="2" customFormat="true" ht="15" hidden="false" customHeight="true" outlineLevel="0" collapsed="false">
      <c r="A1" s="15" t="s">
        <v>1011</v>
      </c>
      <c r="B1" s="15" t="s">
        <v>2</v>
      </c>
      <c r="C1" s="15" t="s">
        <v>1182</v>
      </c>
      <c r="D1" s="15" t="s">
        <v>1183</v>
      </c>
      <c r="E1" s="36" t="s">
        <v>1184</v>
      </c>
      <c r="F1" s="36" t="s">
        <v>1185</v>
      </c>
      <c r="G1" s="36" t="s">
        <v>1186</v>
      </c>
      <c r="H1" s="36" t="s">
        <v>693</v>
      </c>
      <c r="I1" s="15" t="s">
        <v>1187</v>
      </c>
    </row>
  </sheetData>
  <autoFilter ref="A1:I1"/>
  <conditionalFormatting sqref="A1:A1048576">
    <cfRule type="duplicateValues" priority="2" aboveAverage="0" equalAverage="0" bottom="0" percent="0" rank="0" text="" dxfId="11"/>
  </conditionalFormatting>
  <conditionalFormatting sqref="A1647:A1719 A77:A121 A123:A242 A249:A279 A281:A356 A358:A386 A388:A443 A445:A505 A508:A556 A558:A662 A666:A732 A736:A859 A861:A909 A915:A985 A989:A1207 A1215:A1268 A1270:A1371 A1376:A1431 A1433:A1492 A1494:A1563 A1569:A1616 A1618:A1642 A1721:A1730 A1732:A1760 A1762:A1843 A2:A75">
    <cfRule type="duplicateValues" priority="3" aboveAverage="0" equalAverage="0" bottom="0" percent="0" rank="0" text="" dxfId="12"/>
  </conditionalFormatting>
  <dataValidations count="2">
    <dataValidation allowBlank="true" errorStyle="stop" operator="between" showDropDown="false" showErrorMessage="true" showInputMessage="true" sqref="E3:G75 E76:F76 H76:J76 E77:G1001" type="list">
      <formula1>Enums!$A$34:$A$35</formula1>
      <formula2>0</formula2>
    </dataValidation>
    <dataValidation allowBlank="true" errorStyle="stop" operator="between" showDropDown="false" showErrorMessage="true" showInputMessage="true" sqref="D3:D77 G76 D78:D1001" type="list">
      <formula1>Enums!$A$47:$A$49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24" activeCellId="0" sqref="M24"/>
    </sheetView>
  </sheetViews>
  <sheetFormatPr defaultColWidth="8.6796875" defaultRowHeight="15" customHeight="true" zeroHeight="false" outlineLevelRow="0" outlineLevelCol="0"/>
  <cols>
    <col collapsed="false" customWidth="true" hidden="false" outlineLevel="0" max="1" min="1" style="0" width="6.45"/>
    <col collapsed="false" customWidth="true" hidden="false" outlineLevel="0" max="2" min="2" style="0" width="11.36"/>
    <col collapsed="false" customWidth="true" hidden="false" outlineLevel="0" max="3" min="3" style="0" width="17.45"/>
    <col collapsed="false" customWidth="true" hidden="false" outlineLevel="0" max="4" min="4" style="0" width="9.54"/>
  </cols>
  <sheetData>
    <row r="1" s="37" customFormat="true" ht="15" hidden="false" customHeight="true" outlineLevel="0" collapsed="false">
      <c r="A1" s="15" t="s">
        <v>1011</v>
      </c>
      <c r="B1" s="15" t="s">
        <v>2</v>
      </c>
      <c r="C1" s="15" t="s">
        <v>1188</v>
      </c>
      <c r="D1" s="15" t="s">
        <v>1189</v>
      </c>
    </row>
  </sheetData>
  <dataValidations count="1">
    <dataValidation allowBlank="true" errorStyle="stop" operator="between" showDropDown="false" showErrorMessage="true" showInputMessage="true" sqref="D2: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12" activePane="bottomRight" state="frozen"/>
      <selection pane="topLeft" activeCell="A1" activeCellId="0" sqref="A1"/>
      <selection pane="topRight" activeCell="B1" activeCellId="0" sqref="B1"/>
      <selection pane="bottomLeft" activeCell="A12" activeCellId="0" sqref="A12"/>
      <selection pane="bottomRight" activeCell="B13" activeCellId="0" sqref="B13"/>
    </sheetView>
  </sheetViews>
  <sheetFormatPr defaultColWidth="9.36328125" defaultRowHeight="15" customHeight="true" zeroHeight="false" outlineLevelRow="0" outlineLevelCol="0"/>
  <cols>
    <col collapsed="false" customWidth="true" hidden="false" outlineLevel="0" max="1" min="1" style="35" width="28"/>
    <col collapsed="false" customWidth="true" hidden="false" outlineLevel="0" max="2" min="2" style="35" width="46.45"/>
    <col collapsed="false" customWidth="true" hidden="false" outlineLevel="0" max="3" min="3" style="35" width="25.63"/>
    <col collapsed="false" customWidth="true" hidden="false" outlineLevel="0" max="4" min="4" style="35" width="19.63"/>
    <col collapsed="false" customWidth="true" hidden="false" outlineLevel="0" max="5" min="5" style="35" width="6.45"/>
    <col collapsed="false" customWidth="true" hidden="false" outlineLevel="0" max="6" min="6" style="35" width="5.54"/>
    <col collapsed="false" customWidth="true" hidden="false" outlineLevel="0" max="7" min="7" style="35" width="9.45"/>
    <col collapsed="false" customWidth="true" hidden="false" outlineLevel="0" max="8" min="8" style="35" width="22"/>
    <col collapsed="false" customWidth="true" hidden="false" outlineLevel="0" max="9" min="9" style="35" width="17"/>
    <col collapsed="false" customWidth="true" hidden="false" outlineLevel="0" max="10" min="10" style="35" width="9.54"/>
    <col collapsed="false" customWidth="true" hidden="false" outlineLevel="0" max="11" min="11" style="35" width="16.54"/>
    <col collapsed="false" customWidth="true" hidden="false" outlineLevel="0" max="12" min="12" style="35" width="23.45"/>
    <col collapsed="false" customWidth="true" hidden="false" outlineLevel="0" max="13" min="13" style="35" width="12"/>
    <col collapsed="false" customWidth="false" hidden="false" outlineLevel="0" max="16384" min="14" style="35" width="9.36"/>
  </cols>
  <sheetData>
    <row r="1" s="30" customFormat="true" ht="15.75" hidden="false" customHeight="true" outlineLevel="0" collapsed="false">
      <c r="A1" s="15" t="s">
        <v>1190</v>
      </c>
      <c r="B1" s="15" t="s">
        <v>1191</v>
      </c>
      <c r="C1" s="15" t="s">
        <v>1192</v>
      </c>
      <c r="D1" s="15" t="s">
        <v>1193</v>
      </c>
      <c r="E1" s="15" t="s">
        <v>1194</v>
      </c>
      <c r="F1" s="15" t="s">
        <v>1195</v>
      </c>
      <c r="G1" s="15" t="s">
        <v>1196</v>
      </c>
      <c r="H1" s="15" t="s">
        <v>1197</v>
      </c>
      <c r="I1" s="15" t="s">
        <v>1177</v>
      </c>
      <c r="J1" s="15" t="s">
        <v>1189</v>
      </c>
      <c r="K1" s="15" t="s">
        <v>1198</v>
      </c>
      <c r="L1" s="15" t="s">
        <v>1199</v>
      </c>
      <c r="M1" s="15" t="s">
        <v>1187</v>
      </c>
    </row>
  </sheetData>
  <dataValidations count="3">
    <dataValidation allowBlank="true" errorStyle="stop" operator="greaterThanOrEqual" showDropDown="false" showErrorMessage="true" showInputMessage="true" sqref="I1" type="none">
      <formula1>0</formula1>
      <formula2>0</formula2>
    </dataValidation>
    <dataValidation allowBlank="true" error="Whole Numbers Only" errorStyle="stop" errorTitle="Whole Numbers Only" operator="greaterThanOrEqual" showDropDown="false" showErrorMessage="true" showInputMessage="true" sqref="I4:I19 I25:I1001" type="whole">
      <formula1>0</formula1>
      <formula2>0</formula2>
    </dataValidation>
    <dataValidation allowBlank="true" errorStyle="stop" operator="between" showDropDown="false" showErrorMessage="true" showInputMessage="true" sqref="J2:J13 L2:L13 J14:L18 J19:J26 L19:L26 J27:L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7" activePane="bottomRight" state="frozen"/>
      <selection pane="topLeft" activeCell="A1" activeCellId="0" sqref="A1"/>
      <selection pane="topRight" activeCell="B1" activeCellId="0" sqref="B1"/>
      <selection pane="bottomLeft" activeCell="A7" activeCellId="0" sqref="A7"/>
      <selection pane="bottomRight" activeCell="A2" activeCellId="0" sqref="A2"/>
    </sheetView>
  </sheetViews>
  <sheetFormatPr defaultColWidth="31.453125" defaultRowHeight="15" customHeight="true" zeroHeight="false" outlineLevelRow="0" outlineLevelCol="0"/>
  <cols>
    <col collapsed="false" customWidth="true" hidden="false" outlineLevel="0" max="1" min="1" style="1" width="19.36"/>
    <col collapsed="false" customWidth="true" hidden="false" outlineLevel="0" max="2" min="2" style="1" width="35.54"/>
    <col collapsed="false" customWidth="true" hidden="false" outlineLevel="0" max="3" min="3" style="1" width="15.36"/>
    <col collapsed="false" customWidth="true" hidden="false" outlineLevel="0" max="4" min="4" style="1" width="13.36"/>
    <col collapsed="false" customWidth="false" hidden="false" outlineLevel="0" max="16384" min="5" style="1" width="31.45"/>
  </cols>
  <sheetData>
    <row r="1" customFormat="false" ht="15" hidden="false" customHeight="true" outlineLevel="0" collapsed="false">
      <c r="A1" s="15" t="s">
        <v>1200</v>
      </c>
      <c r="B1" s="15" t="s">
        <v>1188</v>
      </c>
      <c r="E1" s="2"/>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24" activeCellId="0" sqref="C24"/>
    </sheetView>
  </sheetViews>
  <sheetFormatPr defaultColWidth="23.453125" defaultRowHeight="15" customHeight="true" zeroHeight="false" outlineLevelRow="0" outlineLevelCol="0"/>
  <cols>
    <col collapsed="false" customWidth="true" hidden="false" outlineLevel="0" max="1" min="1" style="37" width="26.36"/>
    <col collapsed="false" customWidth="true" hidden="false" outlineLevel="0" max="2" min="2" style="37" width="25"/>
    <col collapsed="false" customWidth="true" hidden="false" outlineLevel="0" max="3" min="3" style="37" width="18.54"/>
    <col collapsed="false" customWidth="true" hidden="false" outlineLevel="0" max="4" min="4" style="37" width="29.45"/>
    <col collapsed="false" customWidth="true" hidden="false" outlineLevel="0" max="5" min="5" style="37" width="22.36"/>
    <col collapsed="false" customWidth="false" hidden="false" outlineLevel="0" max="16384" min="6" style="37" width="23.45"/>
  </cols>
  <sheetData>
    <row r="1" s="38" customFormat="true" ht="15" hidden="false" customHeight="false" outlineLevel="0" collapsed="false">
      <c r="A1" s="15" t="s">
        <v>1201</v>
      </c>
      <c r="B1" s="15" t="s">
        <v>1202</v>
      </c>
      <c r="C1" s="15" t="s">
        <v>1203</v>
      </c>
      <c r="D1" s="15" t="s">
        <v>1204</v>
      </c>
      <c r="E1" s="15" t="s">
        <v>1205</v>
      </c>
    </row>
  </sheetData>
  <autoFilter ref="A1:E455">
    <sortState ref="A2:E455">
      <sortCondition ref="A2:A455"/>
    </sortState>
  </autoFilter>
  <conditionalFormatting sqref="C61">
    <cfRule type="duplicateValues" priority="2" aboveAverage="0" equalAverage="0" bottom="0" percent="0" rank="0" text="" dxfId="13"/>
  </conditionalFormatting>
  <dataValidations count="1">
    <dataValidation allowBlank="true" errorStyle="stop" operator="between" showDropDown="false" showErrorMessage="true" showInputMessage="true" sqref="E2:E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I9" activeCellId="0" sqref="I9"/>
    </sheetView>
  </sheetViews>
  <sheetFormatPr defaultColWidth="21.453125" defaultRowHeight="15" customHeight="true" zeroHeight="false" outlineLevelRow="0" outlineLevelCol="0"/>
  <cols>
    <col collapsed="false" customWidth="true" hidden="false" outlineLevel="0" max="1" min="1" style="39" width="41.09"/>
    <col collapsed="false" customWidth="true" hidden="false" outlineLevel="0" max="2" min="2" style="39" width="11.36"/>
    <col collapsed="false" customWidth="true" hidden="false" outlineLevel="0" max="3" min="3" style="39" width="13.45"/>
    <col collapsed="false" customWidth="true" hidden="false" outlineLevel="0" max="4" min="4" style="39" width="10.45"/>
    <col collapsed="false" customWidth="true" hidden="false" outlineLevel="0" max="5" min="5" style="39" width="22"/>
    <col collapsed="false" customWidth="true" hidden="false" outlineLevel="0" max="6" min="6" style="39" width="15.36"/>
    <col collapsed="false" customWidth="true" hidden="false" outlineLevel="0" max="7" min="7" style="39" width="8.54"/>
    <col collapsed="false" customWidth="true" hidden="false" outlineLevel="0" max="8" min="8" style="39" width="21"/>
    <col collapsed="false" customWidth="true" hidden="false" outlineLevel="0" max="9" min="9" style="39" width="14.54"/>
    <col collapsed="false" customWidth="true" hidden="false" outlineLevel="0" max="10" min="10" style="39" width="17.09"/>
    <col collapsed="false" customWidth="true" hidden="false" outlineLevel="0" max="11" min="11" style="39" width="8.63"/>
    <col collapsed="false" customWidth="true" hidden="false" outlineLevel="0" max="12" min="12" style="39" width="8.54"/>
    <col collapsed="false" customWidth="false" hidden="false" outlineLevel="0" max="16384" min="13" style="39" width="21.45"/>
  </cols>
  <sheetData>
    <row r="1" s="40" customFormat="true" ht="15" hidden="false" customHeight="true" outlineLevel="0" collapsed="false">
      <c r="A1" s="15" t="s">
        <v>1011</v>
      </c>
      <c r="B1" s="15" t="s">
        <v>2</v>
      </c>
      <c r="C1" s="15" t="s">
        <v>1206</v>
      </c>
      <c r="D1" s="15" t="s">
        <v>1207</v>
      </c>
      <c r="E1" s="15" t="s">
        <v>1208</v>
      </c>
      <c r="F1" s="15" t="s">
        <v>1209</v>
      </c>
      <c r="G1" s="15" t="s">
        <v>1210</v>
      </c>
      <c r="H1" s="15" t="s">
        <v>1211</v>
      </c>
      <c r="I1" s="15" t="s">
        <v>1212</v>
      </c>
      <c r="J1" s="15" t="s">
        <v>1213</v>
      </c>
      <c r="K1" s="15" t="s">
        <v>1214</v>
      </c>
      <c r="L1" s="15" t="s">
        <v>1215</v>
      </c>
    </row>
  </sheetData>
  <dataValidations count="1">
    <dataValidation allowBlank="true" errorStyle="stop" operator="between" showDropDown="false" showErrorMessage="true" showInputMessage="true" sqref="C2:C1001" type="list">
      <formula1>Enums!$A$52:$A$57</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38" activeCellId="0" sqref="G38"/>
    </sheetView>
  </sheetViews>
  <sheetFormatPr defaultColWidth="9.36328125" defaultRowHeight="15" customHeight="true" zeroHeight="false" outlineLevelRow="0" outlineLevelCol="0"/>
  <cols>
    <col collapsed="false" customWidth="true" hidden="false" outlineLevel="0" max="1" min="1" style="35" width="6.45"/>
    <col collapsed="false" customWidth="true" hidden="false" outlineLevel="0" max="2" min="2" style="35" width="11.36"/>
    <col collapsed="false" customWidth="true" hidden="false" outlineLevel="0" max="3" min="3" style="35" width="9.63"/>
    <col collapsed="false" customWidth="true" hidden="false" outlineLevel="0" max="4" min="4" style="35" width="12.36"/>
    <col collapsed="false" customWidth="true" hidden="false" outlineLevel="0" max="5" min="5" style="35" width="17.63"/>
    <col collapsed="false" customWidth="true" hidden="false" outlineLevel="0" max="6" min="6" style="35" width="11.54"/>
    <col collapsed="false" customWidth="true" hidden="false" outlineLevel="0" max="7" min="7" style="35" width="17.45"/>
    <col collapsed="false" customWidth="true" hidden="false" outlineLevel="0" max="8" min="8" style="35" width="12.45"/>
    <col collapsed="false" customWidth="true" hidden="false" outlineLevel="0" max="9" min="9" style="35" width="11.54"/>
    <col collapsed="false" customWidth="true" hidden="false" outlineLevel="0" max="10" min="10" style="35" width="22.54"/>
    <col collapsed="false" customWidth="true" hidden="false" outlineLevel="0" max="11" min="11" style="35" width="32.45"/>
    <col collapsed="false" customWidth="true" hidden="false" outlineLevel="0" max="12" min="12" style="35" width="21.45"/>
    <col collapsed="false" customWidth="true" hidden="false" outlineLevel="0" max="13" min="13" style="35" width="20.54"/>
    <col collapsed="false" customWidth="true" hidden="false" outlineLevel="0" max="14" min="14" style="35" width="22.63"/>
    <col collapsed="false" customWidth="true" hidden="false" outlineLevel="0" max="15" min="15" style="35" width="15.45"/>
    <col collapsed="false" customWidth="true" hidden="false" outlineLevel="0" max="16" min="16" style="35" width="16"/>
    <col collapsed="false" customWidth="true" hidden="false" outlineLevel="0" max="17" min="17" style="35" width="12.45"/>
    <col collapsed="false" customWidth="true" hidden="false" outlineLevel="0" max="18" min="18" style="35" width="8.54"/>
    <col collapsed="false" customWidth="true" hidden="false" outlineLevel="0" max="19" min="19" style="35" width="15.45"/>
    <col collapsed="false" customWidth="true" hidden="false" outlineLevel="0" max="20" min="20" style="35" width="24.54"/>
    <col collapsed="false" customWidth="true" hidden="false" outlineLevel="0" max="21" min="21" style="35" width="28.36"/>
    <col collapsed="false" customWidth="true" hidden="false" outlineLevel="0" max="22" min="22" style="35" width="25.54"/>
    <col collapsed="false" customWidth="true" hidden="false" outlineLevel="0" max="23" min="23" style="35" width="20.63"/>
    <col collapsed="false" customWidth="true" hidden="false" outlineLevel="0" max="24" min="24" style="35" width="21"/>
    <col collapsed="false" customWidth="true" hidden="false" outlineLevel="0" max="25" min="25" style="35" width="11.45"/>
    <col collapsed="false" customWidth="false" hidden="false" outlineLevel="0" max="16384" min="26" style="35" width="9.36"/>
  </cols>
  <sheetData>
    <row r="1" customFormat="false" ht="15.75" hidden="false" customHeight="true" outlineLevel="0" collapsed="false">
      <c r="A1" s="15" t="s">
        <v>1011</v>
      </c>
      <c r="B1" s="15" t="s">
        <v>2</v>
      </c>
      <c r="C1" s="15" t="s">
        <v>1216</v>
      </c>
      <c r="D1" s="15" t="s">
        <v>1217</v>
      </c>
      <c r="E1" s="15" t="s">
        <v>1218</v>
      </c>
      <c r="F1" s="15" t="s">
        <v>1219</v>
      </c>
      <c r="G1" s="15" t="s">
        <v>1220</v>
      </c>
      <c r="H1" s="15" t="s">
        <v>1221</v>
      </c>
      <c r="I1" s="15" t="s">
        <v>1222</v>
      </c>
      <c r="J1" s="15" t="s">
        <v>1223</v>
      </c>
      <c r="K1" s="15" t="s">
        <v>1224</v>
      </c>
      <c r="L1" s="15" t="s">
        <v>1225</v>
      </c>
      <c r="M1" s="15" t="s">
        <v>1226</v>
      </c>
      <c r="N1" s="15" t="s">
        <v>1227</v>
      </c>
      <c r="O1" s="15" t="s">
        <v>1228</v>
      </c>
      <c r="P1" s="15" t="s">
        <v>1229</v>
      </c>
      <c r="Q1" s="15" t="s">
        <v>1230</v>
      </c>
      <c r="R1" s="15" t="s">
        <v>1231</v>
      </c>
      <c r="S1" s="15" t="s">
        <v>1232</v>
      </c>
      <c r="T1" s="15" t="s">
        <v>1233</v>
      </c>
      <c r="U1" s="15" t="s">
        <v>1234</v>
      </c>
      <c r="V1" s="15" t="s">
        <v>1235</v>
      </c>
      <c r="W1" s="15" t="s">
        <v>1236</v>
      </c>
      <c r="X1" s="15" t="s">
        <v>1237</v>
      </c>
      <c r="Y1" s="15" t="s">
        <v>1238</v>
      </c>
    </row>
  </sheetData>
  <dataValidations count="5">
    <dataValidation allowBlank="true" errorStyle="stop" operator="greaterThan" showDropDown="false" showErrorMessage="true" showInputMessage="true" sqref="H1" type="none">
      <formula1>0</formula1>
      <formula2>0</formula2>
    </dataValidation>
    <dataValidation allowBlank="true" errorStyle="stop" operator="greaterThanOrEqual" showDropDown="false" showErrorMessage="true" showInputMessage="true" sqref="W1:X1" type="none">
      <formula1>0</formula1>
      <formula2>0</formula2>
    </dataValidation>
    <dataValidation allowBlank="true" error="Whole Numbers Only" errorStyle="stop" operator="greaterThanOrEqual" showDropDown="false" showErrorMessage="true" showInputMessage="true" sqref="W2:X13 O15:P15 W15:X1001" type="whole">
      <formula1>0</formula1>
      <formula2>0</formula2>
    </dataValidation>
    <dataValidation allowBlank="true" errorStyle="stop" operator="greaterThan" showDropDown="false" showErrorMessage="true" showInputMessage="true" sqref="H2:H1001" type="list">
      <formula1>Enums!$A$59:$A$62</formula1>
      <formula2>0</formula2>
    </dataValidation>
    <dataValidation allowBlank="true" errorStyle="stop" operator="between" showDropDown="false" showErrorMessage="true" showInputMessage="true" sqref="C2:C1001 I2:J14 M2:V13 Y2:Y13 M14:P14 I15:N15 Q15:V15 Y15:Y1001 I16:J1001 M16:V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F2" activePane="bottomRight" state="frozen"/>
      <selection pane="topLeft" activeCell="A1" activeCellId="0" sqref="A1"/>
      <selection pane="topRight" activeCell="F1" activeCellId="0" sqref="F1"/>
      <selection pane="bottomLeft" activeCell="A2" activeCellId="0" sqref="A2"/>
      <selection pane="bottomRight" activeCell="K14" activeCellId="0" sqref="K14"/>
    </sheetView>
  </sheetViews>
  <sheetFormatPr defaultColWidth="34.453125" defaultRowHeight="15" customHeight="true" zeroHeight="false" outlineLevelRow="0" outlineLevelCol="0"/>
  <cols>
    <col collapsed="false" customWidth="true" hidden="false" outlineLevel="0" max="2" min="1" style="1" width="24"/>
    <col collapsed="false" customWidth="true" hidden="false" outlineLevel="0" max="3" min="3" style="1" width="23.45"/>
    <col collapsed="false" customWidth="true" hidden="false" outlineLevel="0" max="4" min="4" style="1" width="12.45"/>
    <col collapsed="false" customWidth="true" hidden="false" outlineLevel="0" max="6" min="5" style="1" width="21.54"/>
    <col collapsed="false" customWidth="true" hidden="false" outlineLevel="0" max="7" min="7" style="1" width="7.54"/>
    <col collapsed="false" customWidth="true" hidden="false" outlineLevel="0" max="8" min="8" style="1" width="41.45"/>
    <col collapsed="false" customWidth="true" hidden="false" outlineLevel="0" max="9" min="9" style="1" width="21.63"/>
    <col collapsed="false" customWidth="true" hidden="false" outlineLevel="0" max="10" min="10" style="1" width="11.54"/>
    <col collapsed="false" customWidth="true" hidden="false" outlineLevel="0" max="11" min="11" style="1" width="18.45"/>
    <col collapsed="false" customWidth="true" hidden="false" outlineLevel="0" max="12" min="12" style="1" width="12.54"/>
    <col collapsed="false" customWidth="true" hidden="false" outlineLevel="0" max="13" min="13" style="1" width="11.54"/>
    <col collapsed="false" customWidth="true" hidden="false" outlineLevel="0" max="14" min="14" style="1" width="12.63"/>
    <col collapsed="false" customWidth="false" hidden="false" outlineLevel="0" max="16384" min="15" style="1" width="34.45"/>
  </cols>
  <sheetData>
    <row r="1" s="35" customFormat="true" ht="15" hidden="false" customHeight="true" outlineLevel="0" collapsed="false">
      <c r="A1" s="15" t="s">
        <v>1011</v>
      </c>
      <c r="B1" s="15" t="s">
        <v>2</v>
      </c>
      <c r="C1" s="15" t="s">
        <v>1239</v>
      </c>
      <c r="D1" s="15" t="s">
        <v>1240</v>
      </c>
      <c r="E1" s="15" t="s">
        <v>1241</v>
      </c>
      <c r="F1" s="15" t="s">
        <v>1242</v>
      </c>
      <c r="G1" s="41" t="s">
        <v>803</v>
      </c>
      <c r="H1" s="41" t="s">
        <v>1243</v>
      </c>
      <c r="I1" s="41" t="s">
        <v>1244</v>
      </c>
      <c r="J1" s="41" t="s">
        <v>1245</v>
      </c>
      <c r="K1" s="41" t="s">
        <v>1246</v>
      </c>
      <c r="L1" s="41" t="s">
        <v>1247</v>
      </c>
      <c r="M1" s="41" t="s">
        <v>1248</v>
      </c>
      <c r="N1" s="41" t="s">
        <v>1249</v>
      </c>
      <c r="O1" s="30"/>
    </row>
  </sheetData>
  <dataValidations count="7">
    <dataValidation allowBlank="true" errorStyle="stop" operator="greaterThan" showDropDown="false" showErrorMessage="true" showInputMessage="true" sqref="J1 J7:J8" type="none">
      <formula1>0</formula1>
      <formula2>0</formula2>
    </dataValidation>
    <dataValidation allowBlank="true" errorStyle="stop" operator="greaterThanOrEqual" showDropDown="false" showErrorMessage="true" showInputMessage="true" sqref="F1 F7:F8" type="none">
      <formula1>0</formula1>
      <formula2>0</formula2>
    </dataValidation>
    <dataValidation allowBlank="true" error="Whole Numbers Only" errorStyle="stop" errorTitle="Whole Numbers Only" operator="greaterThan" showDropDown="false" showErrorMessage="true" showInputMessage="true" sqref="J2:J6 J10:J1001" type="whole">
      <formula1>0</formula1>
      <formula2>0</formula2>
    </dataValidation>
    <dataValidation allowBlank="true" error="Whole Numbers Only" errorStyle="stop" errorTitle="Whole Numbers Only" operator="greaterThanOrEqual" showDropDown="false" showErrorMessage="true" showInputMessage="true" sqref="F2:F6 F10:F1001" type="whole">
      <formula1>0</formula1>
      <formula2>0</formula2>
    </dataValidation>
    <dataValidation allowBlank="true" errorStyle="stop" operator="between" showDropDown="false" showErrorMessage="true" showInputMessage="true" sqref="C2:D6 C10:D1001" type="list">
      <formula1>Enums!$A$34:$A$35</formula1>
      <formula2>0</formula2>
    </dataValidation>
    <dataValidation allowBlank="true" errorStyle="stop" operator="between" showDropDown="false" showErrorMessage="true" showInputMessage="true" sqref="E2:E6 E10:E1001" type="list">
      <formula1>Enums!$C$38:$C$40</formula1>
      <formula2>0</formula2>
    </dataValidation>
    <dataValidation allowBlank="true" errorStyle="stop" operator="between" showDropDown="false" showErrorMessage="true" showInputMessage="true" sqref="K2:K6 K10:K1001" type="list">
      <formula1>Enums!$C$43:$C$51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J21" activeCellId="0" sqref="J21"/>
    </sheetView>
  </sheetViews>
  <sheetFormatPr defaultColWidth="9.36328125" defaultRowHeight="15" customHeight="true" zeroHeight="false" outlineLevelRow="0" outlineLevelCol="0"/>
  <cols>
    <col collapsed="false" customWidth="true" hidden="false" outlineLevel="0" max="1" min="1" style="1" width="16"/>
    <col collapsed="false" customWidth="true" hidden="false" outlineLevel="0" max="2" min="2" style="1" width="22.45"/>
    <col collapsed="false" customWidth="true" hidden="false" outlineLevel="0" max="3" min="3" style="1" width="11.36"/>
    <col collapsed="false" customWidth="true" hidden="false" outlineLevel="0" max="4" min="4" style="1" width="13.36"/>
    <col collapsed="false" customWidth="true" hidden="false" outlineLevel="0" max="5" min="5" style="1" width="10.54"/>
    <col collapsed="false" customWidth="true" hidden="false" outlineLevel="0" max="6" min="6" style="1" width="9.54"/>
    <col collapsed="false" customWidth="true" hidden="false" outlineLevel="0" max="7" min="7" style="1" width="14.54"/>
    <col collapsed="false" customWidth="true" hidden="false" outlineLevel="0" max="8" min="8" style="1" width="15.54"/>
    <col collapsed="false" customWidth="true" hidden="false" outlineLevel="0" max="9" min="9" style="1" width="10.45"/>
    <col collapsed="false" customWidth="true" hidden="false" outlineLevel="0" max="10" min="10" style="1" width="9.54"/>
    <col collapsed="false" customWidth="true" hidden="false" outlineLevel="0" max="11" min="11" style="1" width="14.45"/>
    <col collapsed="false" customWidth="true" hidden="false" outlineLevel="0" max="12" min="12" style="1" width="12.54"/>
    <col collapsed="false" customWidth="true" hidden="false" outlineLevel="0" max="13" min="13" style="1" width="7.36"/>
    <col collapsed="false" customWidth="true" hidden="false" outlineLevel="0" max="14" min="14" style="1" width="13.45"/>
    <col collapsed="false" customWidth="true" hidden="false" outlineLevel="0" max="15" min="15" style="1" width="10.36"/>
    <col collapsed="false" customWidth="true" hidden="false" outlineLevel="0" max="16" min="16" style="1" width="9.54"/>
    <col collapsed="false" customWidth="true" hidden="false" outlineLevel="0" max="17" min="17" style="1" width="12.36"/>
    <col collapsed="false" customWidth="true" hidden="false" outlineLevel="0" max="18" min="18" style="1" width="12.45"/>
    <col collapsed="false" customWidth="true" hidden="false" outlineLevel="0" max="19" min="19" style="1" width="14.63"/>
    <col collapsed="false" customWidth="true" hidden="false" outlineLevel="0" max="21" min="20" style="1" width="15.54"/>
    <col collapsed="false" customWidth="true" hidden="false" outlineLevel="0" max="22" min="22" style="1" width="11.54"/>
    <col collapsed="false" customWidth="false" hidden="false" outlineLevel="0" max="16384" min="23" style="1" width="9.36"/>
  </cols>
  <sheetData>
    <row r="1" customFormat="false" ht="15" hidden="false" customHeight="true" outlineLevel="0" collapsed="false">
      <c r="A1" s="15" t="s">
        <v>584</v>
      </c>
      <c r="B1" s="15" t="s">
        <v>1011</v>
      </c>
      <c r="C1" s="15" t="s">
        <v>2</v>
      </c>
      <c r="D1" s="15" t="s">
        <v>1250</v>
      </c>
      <c r="E1" s="15" t="s">
        <v>1251</v>
      </c>
      <c r="F1" s="15" t="s">
        <v>1189</v>
      </c>
      <c r="G1" s="15" t="s">
        <v>560</v>
      </c>
      <c r="H1" s="15" t="s">
        <v>1252</v>
      </c>
      <c r="I1" s="15" t="s">
        <v>717</v>
      </c>
      <c r="J1" s="15" t="s">
        <v>1253</v>
      </c>
      <c r="K1" s="15" t="s">
        <v>1254</v>
      </c>
      <c r="L1" s="15" t="s">
        <v>1255</v>
      </c>
      <c r="M1" s="15" t="s">
        <v>1256</v>
      </c>
      <c r="N1" s="15" t="s">
        <v>1257</v>
      </c>
      <c r="O1" s="15" t="s">
        <v>1258</v>
      </c>
      <c r="P1" s="15" t="s">
        <v>1259</v>
      </c>
      <c r="Q1" s="15" t="s">
        <v>1260</v>
      </c>
      <c r="R1" s="15" t="s">
        <v>1261</v>
      </c>
      <c r="S1" s="15" t="s">
        <v>1262</v>
      </c>
      <c r="T1" s="15" t="s">
        <v>1263</v>
      </c>
      <c r="U1" s="15" t="s">
        <v>1264</v>
      </c>
      <c r="V1" s="15" t="s">
        <v>1265</v>
      </c>
    </row>
  </sheetData>
  <dataValidations count="10">
    <dataValidation allowBlank="true" errorStyle="stop" operator="greaterThanOrEqual" showDropDown="false" showErrorMessage="true" showInputMessage="true" sqref="J1:K1" type="none">
      <formula1>0</formula1>
      <formula2>0</formula2>
    </dataValidation>
    <dataValidation allowBlank="true" error="Whole Numbers Only" errorStyle="stop" operator="greaterThanOrEqual" showDropDown="false" showErrorMessage="true" showInputMessage="true" sqref="J2:K15 K16:K17 J18:K18 K19:K21 J22:K1001" type="whole">
      <formula1>0</formula1>
      <formula2>0</formula2>
    </dataValidation>
    <dataValidation allowBlank="true" errorStyle="stop" operator="greaterThan" showDropDown="false" showErrorMessage="true" showInputMessage="true" sqref="H2:H6 H10:H14" type="none">
      <formula1>0</formula1>
      <formula2>0</formula2>
    </dataValidation>
    <dataValidation allowBlank="true" errorStyle="stop" operator="greaterThanOrEqual" showDropDown="false" showErrorMessage="true" showInputMessage="true" sqref="V1:V3 V6 V9:V14" type="whole">
      <formula1>0</formula1>
      <formula2>0</formula2>
    </dataValidation>
    <dataValidation allowBlank="true" errorStyle="stop" operator="between" showDropDown="false" showErrorMessage="true" showInputMessage="true" sqref="L2:L1001" type="list">
      <formula1>"Yes,No"</formula1>
      <formula2>0</formula2>
    </dataValidation>
    <dataValidation allowBlank="true" errorStyle="stop" operator="between" showDropDown="false" showErrorMessage="true" showInputMessage="true" sqref="G2:G6 G7:H8 G9:G15 G16:H1001" type="list">
      <formula1>Enums!$A$70:$A$79</formula1>
      <formula2>0</formula2>
    </dataValidation>
    <dataValidation allowBlank="true" errorStyle="stop" operator="between" showDropDown="false" showErrorMessage="true" showInputMessage="true" sqref="I2:I1001" type="list">
      <formula1>Enums!$A$82:$A$95</formula1>
      <formula2>0</formula2>
    </dataValidation>
    <dataValidation allowBlank="true" errorStyle="stop" operator="between" showDropDown="false" showErrorMessage="true" showInputMessage="true" sqref="D2:D1001" type="list">
      <formula1>Enums!$A$65:$A$67</formula1>
      <formula2>0</formula2>
    </dataValidation>
    <dataValidation allowBlank="true" errorStyle="stop" operator="between" showDropDown="false" showErrorMessage="true" showInputMessage="true" sqref="F2:F1001 M2:N1001 P2:S1001" type="list">
      <formula1>Enums!$A$34:$A$35</formula1>
      <formula2>0</formula2>
    </dataValidation>
    <dataValidation allowBlank="true" errorStyle="stop" operator="between" showDropDown="false" showErrorMessage="true" showInputMessage="true" sqref="O2:O1001" type="list">
      <formula1>Enums!$C$34:$C$35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E14" activeCellId="0" sqref="E14"/>
    </sheetView>
  </sheetViews>
  <sheetFormatPr defaultColWidth="43.453125" defaultRowHeight="15" customHeight="true" zeroHeight="false" outlineLevelRow="0" outlineLevelCol="0"/>
  <cols>
    <col collapsed="false" customWidth="true" hidden="false" outlineLevel="0" max="1" min="1" style="0" width="30.54"/>
    <col collapsed="false" customWidth="true" hidden="false" outlineLevel="0" max="2" min="2" style="0" width="11.36"/>
    <col collapsed="false" customWidth="true" hidden="false" outlineLevel="0" max="3" min="3" style="0" width="15.63"/>
  </cols>
  <sheetData>
    <row r="1" s="37" customFormat="true" ht="15" hidden="false" customHeight="true" outlineLevel="0" collapsed="false">
      <c r="A1" s="15" t="s">
        <v>1011</v>
      </c>
      <c r="B1" s="15" t="s">
        <v>2</v>
      </c>
      <c r="C1" s="15" t="s">
        <v>1266</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2" activeCellId="0" sqref="B22"/>
    </sheetView>
  </sheetViews>
  <sheetFormatPr defaultColWidth="25.54296875" defaultRowHeight="15" customHeight="true" zeroHeight="false" outlineLevelRow="0" outlineLevelCol="0"/>
  <cols>
    <col collapsed="false" customWidth="true" hidden="false" outlineLevel="0" max="1" min="1" style="0" width="30.54"/>
    <col collapsed="false" customWidth="true" hidden="false" outlineLevel="0" max="2" min="2" style="0" width="24.54"/>
    <col collapsed="false" customWidth="true" hidden="false" outlineLevel="0" max="3" min="3" style="0" width="11.36"/>
    <col collapsed="false" customWidth="true" hidden="false" outlineLevel="0" max="4" min="4" style="0" width="64.54"/>
    <col collapsed="false" customWidth="true" hidden="false" outlineLevel="0" max="5" min="5" style="0" width="7.54"/>
    <col collapsed="false" customWidth="true" hidden="false" outlineLevel="0" max="6" min="6" style="0" width="6.54"/>
    <col collapsed="false" customWidth="true" hidden="false" outlineLevel="0" max="7" min="7" style="0" width="10.36"/>
  </cols>
  <sheetData>
    <row r="1" s="38" customFormat="true" ht="15" hidden="false" customHeight="true" outlineLevel="0" collapsed="false">
      <c r="A1" s="15" t="s">
        <v>697</v>
      </c>
      <c r="B1" s="15" t="s">
        <v>1011</v>
      </c>
      <c r="C1" s="15" t="s">
        <v>2</v>
      </c>
      <c r="D1" s="15" t="s">
        <v>674</v>
      </c>
      <c r="E1" s="15" t="s">
        <v>1267</v>
      </c>
      <c r="F1" s="15" t="s">
        <v>1268</v>
      </c>
      <c r="G1" s="15" t="s">
        <v>254</v>
      </c>
    </row>
  </sheetData>
  <dataValidations count="1">
    <dataValidation allowBlank="true" errorStyle="stop" operator="between" showDropDown="false" showErrorMessage="true" showInputMessage="true" sqref="E2:F2 E6:F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 activeCellId="0" sqref="B2"/>
    </sheetView>
  </sheetViews>
  <sheetFormatPr defaultColWidth="11.54296875" defaultRowHeight="15" customHeight="true" zeroHeight="false" outlineLevelRow="0" outlineLevelCol="0"/>
  <cols>
    <col collapsed="false" customWidth="true" hidden="false" outlineLevel="0" max="1" min="1" style="0" width="30.54"/>
    <col collapsed="false" customWidth="true" hidden="false" outlineLevel="0" max="2" min="2" style="0" width="81.63"/>
    <col collapsed="false" customWidth="true" hidden="false" outlineLevel="0" max="3" min="3" style="0" width="11.36"/>
    <col collapsed="false" customWidth="true" hidden="false" outlineLevel="0" max="4" min="4" style="0" width="26"/>
    <col collapsed="false" customWidth="true" hidden="false" outlineLevel="0" max="5" min="5" style="0" width="24.54"/>
    <col collapsed="false" customWidth="true" hidden="false" outlineLevel="0" max="6" min="6" style="0" width="5"/>
    <col collapsed="false" customWidth="true" hidden="false" outlineLevel="0" max="7" min="7" style="0" width="19"/>
    <col collapsed="false" customWidth="true" hidden="false" outlineLevel="0" max="8" min="8" style="0" width="19.45"/>
    <col collapsed="false" customWidth="true" hidden="false" outlineLevel="0" max="10" min="10" style="0" width="26"/>
  </cols>
  <sheetData>
    <row r="1" s="42" customFormat="true" ht="15" hidden="false" customHeight="true" outlineLevel="0" collapsed="false">
      <c r="A1" s="15" t="s">
        <v>697</v>
      </c>
      <c r="B1" s="15" t="s">
        <v>1011</v>
      </c>
      <c r="C1" s="15" t="s">
        <v>2</v>
      </c>
      <c r="D1" s="15" t="s">
        <v>1269</v>
      </c>
      <c r="E1" s="15" t="s">
        <v>1270</v>
      </c>
      <c r="F1" s="15" t="s">
        <v>674</v>
      </c>
      <c r="G1" s="15" t="s">
        <v>1271</v>
      </c>
      <c r="H1" s="15" t="s">
        <v>1272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38" activeCellId="0" sqref="G38"/>
    </sheetView>
  </sheetViews>
  <sheetFormatPr defaultColWidth="25.453125" defaultRowHeight="15" customHeight="true" zeroHeight="false" outlineLevelRow="0" outlineLevelCol="0"/>
  <cols>
    <col collapsed="false" customWidth="true" hidden="false" outlineLevel="0" max="1" min="1" style="1" width="6.54"/>
    <col collapsed="false" customWidth="true" hidden="false" outlineLevel="0" max="2" min="2" style="1" width="11.36"/>
    <col collapsed="false" customWidth="true" hidden="false" outlineLevel="0" max="3" min="3" style="1" width="12.54"/>
    <col collapsed="false" customWidth="true" hidden="false" outlineLevel="0" max="4" min="4" style="1" width="9.54"/>
    <col collapsed="false" customWidth="true" hidden="false" outlineLevel="0" max="5" min="5" style="1" width="12.45"/>
    <col collapsed="false" customWidth="true" hidden="false" outlineLevel="0" max="6" min="6" style="1" width="20.45"/>
    <col collapsed="false" customWidth="false" hidden="false" outlineLevel="0" max="16384" min="7" style="1" width="25.45"/>
  </cols>
  <sheetData>
    <row r="1" customFormat="false" ht="15" hidden="false" customHeight="true" outlineLevel="0" collapsed="false">
      <c r="A1" s="15" t="s">
        <v>1273</v>
      </c>
      <c r="B1" s="15" t="s">
        <v>2</v>
      </c>
      <c r="C1" s="15" t="s">
        <v>1274</v>
      </c>
      <c r="D1" s="15" t="s">
        <v>1189</v>
      </c>
      <c r="E1" s="41" t="s">
        <v>1275</v>
      </c>
      <c r="F1" s="41" t="s">
        <v>1276</v>
      </c>
    </row>
  </sheetData>
  <dataValidations count="1">
    <dataValidation allowBlank="true" errorStyle="stop" operator="between" showDropDown="false" showErrorMessage="true" showInputMessage="true" sqref="D2: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19" activeCellId="0" sqref="H19"/>
    </sheetView>
  </sheetViews>
  <sheetFormatPr defaultColWidth="6.453125" defaultRowHeight="15" customHeight="true" zeroHeight="false" outlineLevelRow="0" outlineLevelCol="0"/>
  <cols>
    <col collapsed="false" customWidth="true" hidden="false" outlineLevel="0" max="1" min="1" style="1" width="12.45"/>
    <col collapsed="false" customWidth="true" hidden="false" outlineLevel="0" max="2" min="2" style="1" width="6.54"/>
    <col collapsed="false" customWidth="false" hidden="false" outlineLevel="0" max="16384" min="3" style="1" width="6.45"/>
  </cols>
  <sheetData>
    <row r="1" customFormat="false" ht="15" hidden="false" customHeight="true" outlineLevel="0" collapsed="false">
      <c r="A1" s="15" t="s">
        <v>1275</v>
      </c>
      <c r="B1" s="15" t="s">
        <v>1273</v>
      </c>
      <c r="C1" s="15" t="s">
        <v>1277</v>
      </c>
    </row>
  </sheetData>
  <dataValidations count="2">
    <dataValidation allowBlank="true" error="Whole Numbers Only &gt; 0" errorStyle="stop" errorTitle="Whole Numbers Only &gt; 0" operator="greaterThan" showDropDown="false" showErrorMessage="true" showInputMessage="true" sqref="C2:C1001" type="whole">
      <formula1>0</formula1>
      <formula2>0</formula2>
    </dataValidation>
    <dataValidation allowBlank="true" errorStyle="stop" operator="greaterThan" showDropDown="false" showErrorMessage="true" showInputMessage="true" sqref="C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8.6796875" defaultRowHeight="15" customHeight="true" zeroHeight="false" outlineLevelRow="0" outlineLevelCol="0"/>
  <cols>
    <col collapsed="false" customWidth="true" hidden="false" outlineLevel="0" max="1" min="1" style="0" width="6.45"/>
    <col collapsed="false" customWidth="true" hidden="false" outlineLevel="0" max="2" min="2" style="0" width="12.54"/>
  </cols>
  <sheetData>
    <row r="1" s="42" customFormat="true" ht="15" hidden="false" customHeight="true" outlineLevel="0" collapsed="false">
      <c r="A1" s="15" t="s">
        <v>426</v>
      </c>
      <c r="B1" s="15" t="s">
        <v>1274</v>
      </c>
    </row>
  </sheetData>
  <dataValidations count="1">
    <dataValidation allowBlank="true" errorStyle="stop" operator="between" showDropDown="false" showErrorMessage="true" showInputMessage="true" sqref="A2:A1001" type="list">
      <formula1>Enums!$C$59:$C$84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10.54"/>
    <col collapsed="false" customWidth="true" hidden="false" outlineLevel="0" max="4" min="4" style="1" width="21.45"/>
    <col collapsed="false" customWidth="true" hidden="false" outlineLevel="0" max="5" min="5" style="1" width="8.45"/>
    <col collapsed="false" customWidth="false" hidden="false" outlineLevel="0" max="16384" min="6" style="1" width="9.36"/>
  </cols>
  <sheetData>
    <row r="1" customFormat="false" ht="15" hidden="false" customHeight="true" outlineLevel="0" collapsed="false">
      <c r="A1" s="15" t="s">
        <v>1011</v>
      </c>
      <c r="B1" s="15" t="s">
        <v>2</v>
      </c>
      <c r="C1" s="15" t="s">
        <v>1251</v>
      </c>
      <c r="D1" s="15" t="s">
        <v>426</v>
      </c>
      <c r="E1" s="15" t="s">
        <v>1278</v>
      </c>
    </row>
  </sheetData>
  <dataValidations count="1">
    <dataValidation allowBlank="true" errorStyle="stop" operator="between" showDropDown="false" showErrorMessage="true" showInputMessage="true" sqref="D1:D1001" type="list">
      <formula1>Enums!$C$59:$C$85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1" width="8.45"/>
    <col collapsed="false" customWidth="true" hidden="false" outlineLevel="0" max="2" min="2" style="1" width="5.45"/>
    <col collapsed="false" customWidth="true" hidden="false" outlineLevel="0" max="3" min="3" style="1" width="9"/>
    <col collapsed="false" customWidth="false" hidden="false" outlineLevel="0" max="16384" min="4" style="1" width="9.36"/>
  </cols>
  <sheetData>
    <row r="1" customFormat="false" ht="15" hidden="false" customHeight="true" outlineLevel="0" collapsed="false">
      <c r="A1" s="15" t="s">
        <v>1279</v>
      </c>
      <c r="B1" s="15" t="s">
        <v>1280</v>
      </c>
      <c r="C1" s="15" t="s">
        <v>1281</v>
      </c>
    </row>
  </sheetData>
  <dataValidations count="2">
    <dataValidation allowBlank="true" errorStyle="stop" operator="greaterThanOrEqual" showDropDown="false" showErrorMessage="true" showInputMessage="true" sqref="B2:B1001" type="whole">
      <formula1>0</formula1>
      <formula2>0</formula2>
    </dataValidation>
    <dataValidation allowBlank="true" errorStyle="stop" operator="between" showDropDown="false" showErrorMessage="true" showInputMessage="true" sqref="C2:C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16" activeCellId="0" sqref="D16"/>
    </sheetView>
  </sheetViews>
  <sheetFormatPr defaultColWidth="9.36328125" defaultRowHeight="14.25" customHeight="false" zeroHeight="false" outlineLevelRow="0" outlineLevelCol="0"/>
  <cols>
    <col collapsed="false" customWidth="true" hidden="false" outlineLevel="0" max="1" min="1" style="1" width="20.54"/>
    <col collapsed="false" customWidth="true" hidden="false" outlineLevel="0" max="2" min="2" style="1" width="11.36"/>
    <col collapsed="false" customWidth="true" hidden="false" outlineLevel="0" max="3" min="3" style="1" width="8"/>
    <col collapsed="false" customWidth="true" hidden="false" outlineLevel="0" max="4" min="4" style="1" width="10.54"/>
    <col collapsed="false" customWidth="true" hidden="false" outlineLevel="0" max="5" min="5" style="1" width="15.54"/>
    <col collapsed="false" customWidth="true" hidden="false" outlineLevel="0" max="6" min="6" style="1" width="8.45"/>
    <col collapsed="false" customWidth="true" hidden="false" outlineLevel="0" max="7" min="7" style="1" width="7.36"/>
    <col collapsed="false" customWidth="true" hidden="false" outlineLevel="0" max="8" min="8" style="1" width="13.36"/>
    <col collapsed="false" customWidth="true" hidden="false" outlineLevel="0" max="9" min="9" style="1" width="30.54"/>
    <col collapsed="false" customWidth="true" hidden="false" outlineLevel="0" max="10" min="10" style="1" width="24.63"/>
    <col collapsed="false" customWidth="true" hidden="false" outlineLevel="0" max="12" min="11" style="1" width="33.63"/>
    <col collapsed="false" customWidth="true" hidden="false" outlineLevel="0" max="13" min="13" style="1" width="17"/>
    <col collapsed="false" customWidth="true" hidden="false" outlineLevel="0" max="14" min="14" style="1" width="20.36"/>
    <col collapsed="false" customWidth="false" hidden="false" outlineLevel="0" max="16384" min="15" style="1" width="9.36"/>
  </cols>
  <sheetData>
    <row r="1" customFormat="false" ht="14.25" hidden="false" customHeight="false" outlineLevel="0" collapsed="false">
      <c r="A1" s="15" t="s">
        <v>1011</v>
      </c>
      <c r="B1" s="15" t="s">
        <v>2</v>
      </c>
      <c r="C1" s="15" t="s">
        <v>489</v>
      </c>
      <c r="D1" s="15" t="s">
        <v>1251</v>
      </c>
      <c r="E1" s="15" t="s">
        <v>1282</v>
      </c>
      <c r="F1" s="15" t="s">
        <v>1279</v>
      </c>
      <c r="G1" s="15" t="s">
        <v>1283</v>
      </c>
      <c r="H1" s="15" t="s">
        <v>1284</v>
      </c>
      <c r="I1" s="36" t="s">
        <v>1285</v>
      </c>
      <c r="J1" s="15" t="s">
        <v>1286</v>
      </c>
      <c r="K1" s="15" t="s">
        <v>1287</v>
      </c>
      <c r="L1" s="15" t="s">
        <v>1288</v>
      </c>
      <c r="M1" s="15" t="s">
        <v>1289</v>
      </c>
      <c r="N1" s="15" t="s">
        <v>1290</v>
      </c>
    </row>
  </sheetData>
  <dataValidations count="1">
    <dataValidation allowBlank="true" errorStyle="stop" operator="between" showDropDown="false" showErrorMessage="true" showInputMessage="true" sqref="J2:L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9.36328125" defaultRowHeight="14.25" customHeight="false" zeroHeight="false" outlineLevelRow="0" outlineLevelCol="0"/>
  <cols>
    <col collapsed="false" customWidth="true" hidden="false" outlineLevel="0" max="1" min="1" style="39" width="19.45"/>
    <col collapsed="false" customWidth="true" hidden="false" outlineLevel="0" max="2" min="2" style="39" width="10.45"/>
    <col collapsed="false" customWidth="false" hidden="false" outlineLevel="0" max="16384" min="3" style="39" width="9.36"/>
  </cols>
  <sheetData>
    <row r="1" customFormat="false" ht="14.25" hidden="false" customHeight="false" outlineLevel="0" collapsed="false">
      <c r="A1" s="15" t="s">
        <v>1291</v>
      </c>
      <c r="B1" s="15" t="s">
        <v>1292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9.36328125" defaultRowHeight="15" customHeight="true" zeroHeight="false" outlineLevelRow="0" outlineLevelCol="0"/>
  <cols>
    <col collapsed="false" customWidth="true" hidden="false" outlineLevel="0" max="1" min="1" style="1" width="33.63"/>
    <col collapsed="false" customWidth="true" hidden="false" outlineLevel="0" max="2" min="2" style="1" width="11.36"/>
    <col collapsed="false" customWidth="true" hidden="false" outlineLevel="0" max="3" min="3" style="1" width="9"/>
    <col collapsed="false" customWidth="true" hidden="false" outlineLevel="0" max="5" min="4" style="1" width="10.54"/>
    <col collapsed="false" customWidth="true" hidden="false" outlineLevel="0" max="6" min="6" style="1" width="42.45"/>
    <col collapsed="false" customWidth="false" hidden="false" outlineLevel="0" max="8" min="7" style="1" width="9.36"/>
    <col collapsed="false" customWidth="true" hidden="false" outlineLevel="0" max="9" min="9" style="1" width="18.54"/>
    <col collapsed="false" customWidth="false" hidden="false" outlineLevel="0" max="16384" min="10" style="1" width="9.36"/>
  </cols>
  <sheetData>
    <row r="1" s="2" customFormat="true" ht="15" hidden="false" customHeight="true" outlineLevel="0" collapsed="false">
      <c r="A1" s="15" t="s">
        <v>1011</v>
      </c>
      <c r="B1" s="15" t="s">
        <v>2</v>
      </c>
      <c r="C1" s="15" t="s">
        <v>489</v>
      </c>
      <c r="D1" s="15" t="s">
        <v>1251</v>
      </c>
      <c r="E1" s="15" t="s">
        <v>426</v>
      </c>
      <c r="F1" s="15" t="s">
        <v>265</v>
      </c>
    </row>
  </sheetData>
  <dataValidations count="1">
    <dataValidation allowBlank="true" errorStyle="stop" operator="between" showDropDown="false" showErrorMessage="true" showInputMessage="true" sqref="E2:E1001" type="list">
      <formula1>Enums!$C$87:$C$88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12.54"/>
    <col collapsed="false" customWidth="false" hidden="false" outlineLevel="0" max="16384" min="4" style="1" width="9.36"/>
  </cols>
  <sheetData>
    <row r="1" customFormat="false" ht="15" hidden="false" customHeight="true" outlineLevel="0" collapsed="false">
      <c r="A1" s="15" t="s">
        <v>1011</v>
      </c>
      <c r="B1" s="15" t="s">
        <v>2</v>
      </c>
      <c r="C1" s="15" t="s">
        <v>1293</v>
      </c>
      <c r="D1" s="30"/>
      <c r="E1" s="30"/>
      <c r="F1" s="30"/>
      <c r="G1" s="35"/>
      <c r="H1" s="35"/>
      <c r="I1" s="35"/>
      <c r="J1" s="35"/>
      <c r="K1" s="35"/>
      <c r="L1" s="35"/>
      <c r="M1" s="35"/>
      <c r="N1" s="35"/>
      <c r="O1" s="35"/>
      <c r="P1" s="35"/>
      <c r="Q1" s="35"/>
    </row>
  </sheetData>
  <dataValidations count="1">
    <dataValidation allowBlank="true" errorStyle="stop" operator="between" showDropDown="false" showErrorMessage="true" showInputMessage="true" sqref="C2:C1001" type="list">
      <formula1>Enums!$C$91:$C$96</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I2" activePane="bottomRight" state="frozen"/>
      <selection pane="topLeft" activeCell="A1" activeCellId="0" sqref="A1"/>
      <selection pane="topRight" activeCell="I1" activeCellId="0" sqref="I1"/>
      <selection pane="bottomLeft" activeCell="A2" activeCellId="0" sqref="A2"/>
      <selection pane="bottomRight" activeCell="A2" activeCellId="0" sqref="A2"/>
    </sheetView>
  </sheetViews>
  <sheetFormatPr defaultColWidth="10.6328125" defaultRowHeight="15" customHeight="true" zeroHeight="false" outlineLevelRow="0" outlineLevelCol="0"/>
  <cols>
    <col collapsed="false" customWidth="true" hidden="false" outlineLevel="0" max="1" min="1" style="1" width="13.63"/>
    <col collapsed="false" customWidth="true" hidden="false" outlineLevel="0" max="2" min="2" style="1" width="8.54"/>
    <col collapsed="false" customWidth="true" hidden="false" outlineLevel="0" max="3" min="3" style="1" width="11.36"/>
    <col collapsed="false" customWidth="true" hidden="false" outlineLevel="0" max="4" min="4" style="1" width="9"/>
    <col collapsed="false" customWidth="true" hidden="false" outlineLevel="0" max="5" min="5" style="1" width="10.54"/>
    <col collapsed="false" customWidth="true" hidden="false" outlineLevel="0" max="6" min="6" style="1" width="19.45"/>
    <col collapsed="false" customWidth="true" hidden="false" outlineLevel="0" max="8" min="7" style="1" width="23.36"/>
    <col collapsed="false" customWidth="true" hidden="false" outlineLevel="0" max="9" min="9" style="1" width="11.54"/>
    <col collapsed="false" customWidth="true" hidden="false" outlineLevel="0" max="10" min="10" style="1" width="18"/>
    <col collapsed="false" customWidth="true" hidden="false" outlineLevel="0" max="11" min="11" style="1" width="11.63"/>
    <col collapsed="false" customWidth="true" hidden="false" outlineLevel="0" max="12" min="12" style="1" width="11"/>
    <col collapsed="false" customWidth="true" hidden="false" outlineLevel="0" max="13" min="13" style="1" width="15.63"/>
    <col collapsed="false" customWidth="true" hidden="false" outlineLevel="0" max="14" min="14" style="1" width="10.45"/>
    <col collapsed="false" customWidth="true" hidden="false" outlineLevel="0" max="15" min="15" style="43" width="12.54"/>
    <col collapsed="false" customWidth="true" hidden="false" outlineLevel="0" max="16" min="16" style="1" width="9.54"/>
    <col collapsed="false" customWidth="true" hidden="false" outlineLevel="0" max="17" min="17" style="1" width="29"/>
    <col collapsed="false" customWidth="true" hidden="false" outlineLevel="0" max="18" min="18" style="1" width="37.36"/>
    <col collapsed="false" customWidth="true" hidden="false" outlineLevel="0" max="19" min="19" style="1" width="38.54"/>
    <col collapsed="false" customWidth="true" hidden="false" outlineLevel="0" max="20" min="20" style="1" width="29"/>
    <col collapsed="false" customWidth="false" hidden="false" outlineLevel="0" max="16384" min="21" style="1" width="10.63"/>
  </cols>
  <sheetData>
    <row r="1" s="2" customFormat="true" ht="15" hidden="false" customHeight="true" outlineLevel="0" collapsed="false">
      <c r="A1" s="15" t="s">
        <v>1011</v>
      </c>
      <c r="B1" s="15" t="s">
        <v>1294</v>
      </c>
      <c r="C1" s="15" t="s">
        <v>2</v>
      </c>
      <c r="D1" s="15" t="s">
        <v>489</v>
      </c>
      <c r="E1" s="15" t="s">
        <v>1251</v>
      </c>
      <c r="F1" s="15" t="s">
        <v>405</v>
      </c>
      <c r="G1" s="15" t="s">
        <v>1295</v>
      </c>
      <c r="H1" s="15" t="s">
        <v>1296</v>
      </c>
      <c r="I1" s="15" t="s">
        <v>1297</v>
      </c>
      <c r="J1" s="15" t="s">
        <v>1298</v>
      </c>
      <c r="K1" s="15" t="s">
        <v>1299</v>
      </c>
      <c r="L1" s="15" t="s">
        <v>1300</v>
      </c>
      <c r="M1" s="15" t="s">
        <v>1301</v>
      </c>
      <c r="N1" s="15" t="s">
        <v>1302</v>
      </c>
      <c r="O1" s="15" t="s">
        <v>1303</v>
      </c>
      <c r="P1" s="15" t="s">
        <v>1304</v>
      </c>
      <c r="Q1" s="15" t="s">
        <v>1305</v>
      </c>
      <c r="R1" s="15" t="s">
        <v>1306</v>
      </c>
      <c r="S1" s="15" t="s">
        <v>1307</v>
      </c>
      <c r="T1" s="15" t="s">
        <v>1308</v>
      </c>
    </row>
  </sheetData>
  <dataValidations count="2">
    <dataValidation allowBlank="true" errorStyle="stop" operator="between" showDropDown="false" showErrorMessage="true" showInputMessage="true" sqref="F3:F1001" type="list">
      <formula1>Enums!$E$34:$E$35</formula1>
      <formula2>0</formula2>
    </dataValidation>
    <dataValidation allowBlank="true" errorStyle="stop" operator="between" showDropDown="false" showErrorMessage="true" showInputMessage="true" sqref="S3:S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9.36328125" defaultRowHeight="14.25" customHeight="false" zeroHeight="false" outlineLevelRow="0" outlineLevelCol="0"/>
  <cols>
    <col collapsed="false" customWidth="true" hidden="false" outlineLevel="0" max="1" min="1" style="1" width="10.36"/>
    <col collapsed="false" customWidth="true" hidden="false" outlineLevel="0" max="2" min="2" style="1" width="5"/>
    <col collapsed="false" customWidth="false" hidden="false" outlineLevel="0" max="3" min="3" style="1" width="9.36"/>
    <col collapsed="false" customWidth="true" hidden="false" outlineLevel="0" max="4" min="4" style="1" width="13.36"/>
    <col collapsed="false" customWidth="true" hidden="false" outlineLevel="0" max="5" min="5" style="1" width="9.54"/>
    <col collapsed="false" customWidth="false" hidden="false" outlineLevel="0" max="16384" min="6" style="1" width="9.36"/>
  </cols>
  <sheetData>
    <row r="1" customFormat="false" ht="14.25" hidden="false" customHeight="false" outlineLevel="0" collapsed="false">
      <c r="A1" s="15" t="s">
        <v>1309</v>
      </c>
      <c r="B1" s="15" t="s">
        <v>674</v>
      </c>
      <c r="E1" s="44" t="s">
        <v>1310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39" width="13.36"/>
    <col collapsed="false" customWidth="true" hidden="false" outlineLevel="0" max="2" min="2" style="39" width="7.54"/>
    <col collapsed="false" customWidth="false" hidden="false" outlineLevel="0" max="16384" min="3" style="39" width="9.36"/>
  </cols>
  <sheetData>
    <row r="1" s="45" customFormat="true" ht="15" hidden="false" customHeight="true" outlineLevel="0" collapsed="false">
      <c r="A1" s="15" t="s">
        <v>1311</v>
      </c>
      <c r="B1" s="15" t="s">
        <v>1280</v>
      </c>
    </row>
  </sheetData>
  <dataValidations count="2">
    <dataValidation allowBlank="true" error="Whole Numbers Only &gt;=1" errorStyle="stop" operator="greaterThan" showDropDown="false" showErrorMessage="true" showInputMessage="true" sqref="B2:B1001" type="whole">
      <formula1>0</formula1>
      <formula2>0</formula2>
    </dataValidation>
    <dataValidation allowBlank="true" errorStyle="stop" operator="greaterThan" showDropDown="false" showErrorMessage="true" showInputMessage="true" sqref="B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C2" activePane="bottomRight" state="frozen"/>
      <selection pane="topLeft" activeCell="A1" activeCellId="0" sqref="A1"/>
      <selection pane="topRight" activeCell="C1" activeCellId="0" sqref="C1"/>
      <selection pane="bottomLeft" activeCell="A2" activeCellId="0" sqref="A2"/>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5.45"/>
    <col collapsed="false" customWidth="true" hidden="false" outlineLevel="0" max="4" min="4" style="1" width="10.54"/>
    <col collapsed="false" customWidth="true" hidden="false" outlineLevel="0" max="5" min="5" style="1" width="11"/>
    <col collapsed="false" customWidth="true" hidden="false" outlineLevel="0" max="6" min="6" style="1" width="26"/>
    <col collapsed="false" customWidth="true" hidden="false" outlineLevel="0" max="7" min="7" style="1" width="18.45"/>
    <col collapsed="false" customWidth="true" hidden="false" outlineLevel="0" max="8" min="8" style="1" width="19.45"/>
    <col collapsed="false" customWidth="true" hidden="false" outlineLevel="0" max="9" min="9" style="1" width="23.63"/>
    <col collapsed="false" customWidth="true" hidden="false" outlineLevel="0" max="10" min="10" style="1" width="16.45"/>
    <col collapsed="false" customWidth="true" hidden="false" outlineLevel="0" max="11" min="11" style="1" width="13.36"/>
    <col collapsed="false" customWidth="true" hidden="false" outlineLevel="0" max="12" min="12" style="1" width="22.36"/>
    <col collapsed="false" customWidth="true" hidden="false" outlineLevel="0" max="13" min="13" style="1" width="20"/>
    <col collapsed="false" customWidth="true" hidden="false" outlineLevel="0" max="14" min="14" style="1" width="16.54"/>
    <col collapsed="false" customWidth="false" hidden="false" outlineLevel="0" max="15" min="15" style="1" width="9.36"/>
    <col collapsed="false" customWidth="true" hidden="false" outlineLevel="0" max="16" min="16" style="1" width="28.45"/>
    <col collapsed="false" customWidth="true" hidden="false" outlineLevel="0" max="17" min="17" style="1" width="24.45"/>
    <col collapsed="false" customWidth="true" hidden="false" outlineLevel="0" max="18" min="18" style="1" width="20.54"/>
    <col collapsed="false" customWidth="false" hidden="false" outlineLevel="0" max="16384" min="19" style="1" width="9.36"/>
  </cols>
  <sheetData>
    <row r="1" customFormat="false" ht="15" hidden="false" customHeight="true" outlineLevel="0" collapsed="false">
      <c r="A1" s="15" t="s">
        <v>1011</v>
      </c>
      <c r="B1" s="15" t="s">
        <v>2</v>
      </c>
      <c r="C1" s="15" t="s">
        <v>489</v>
      </c>
      <c r="D1" s="15" t="s">
        <v>1251</v>
      </c>
      <c r="E1" s="15" t="s">
        <v>1300</v>
      </c>
      <c r="F1" s="15" t="s">
        <v>1312</v>
      </c>
      <c r="G1" s="15" t="s">
        <v>1313</v>
      </c>
      <c r="H1" s="15" t="s">
        <v>1314</v>
      </c>
      <c r="I1" s="15" t="s">
        <v>1315</v>
      </c>
      <c r="J1" s="15" t="s">
        <v>1316</v>
      </c>
      <c r="K1" s="15" t="s">
        <v>1317</v>
      </c>
      <c r="L1" s="15" t="s">
        <v>1318</v>
      </c>
      <c r="M1" s="15" t="s">
        <v>1319</v>
      </c>
      <c r="N1" s="15" t="s">
        <v>1320</v>
      </c>
    </row>
  </sheetData>
  <dataValidations count="4">
    <dataValidation allowBlank="true" errorStyle="stop" operator="greaterThan" showDropDown="false" showErrorMessage="true" showInputMessage="true" sqref="J1 M1" type="none">
      <formula1>0</formula1>
      <formula2>0</formula2>
    </dataValidation>
    <dataValidation allowBlank="true" error="Whole numbers Only. &gt;=1" errorStyle="stop" operator="greaterThan" showDropDown="false" showErrorMessage="true" showInputMessage="true" sqref="J2:J1001 M2:M1001" type="whole">
      <formula1>0</formula1>
      <formula2>0</formula2>
    </dataValidation>
    <dataValidation allowBlank="true" errorStyle="stop" operator="between" showDropDown="false" showErrorMessage="true" showInputMessage="true" sqref="H2:I1001 L2:L1001" type="list">
      <formula1>Enums!$A$34:$A$35</formula1>
      <formula2>0</formula2>
    </dataValidation>
    <dataValidation allowBlank="true" errorStyle="stop" operator="between" showDropDown="false" showErrorMessage="true" showInputMessage="true" sqref="K2:K1001 N2:N1001" type="list">
      <formula1>Enums!$E$85:$E$89</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1" width="19.36"/>
    <col collapsed="false" customWidth="true" hidden="false" outlineLevel="0" max="2" min="2" style="1" width="11.36"/>
    <col collapsed="false" customWidth="true" hidden="false" outlineLevel="0" max="3" min="3" style="1" width="5.45"/>
    <col collapsed="false" customWidth="true" hidden="false" outlineLevel="0" max="4" min="4" style="1" width="10.54"/>
    <col collapsed="false" customWidth="true" hidden="false" outlineLevel="0" max="5" min="5" style="1" width="11"/>
    <col collapsed="false" customWidth="true" hidden="false" outlineLevel="0" max="6" min="6" style="1" width="18.45"/>
    <col collapsed="false" customWidth="true" hidden="false" outlineLevel="0" max="7" min="7" style="1" width="14.54"/>
    <col collapsed="false" customWidth="true" hidden="false" outlineLevel="0" max="8" min="8" style="1" width="14.36"/>
    <col collapsed="false" customWidth="true" hidden="false" outlineLevel="0" max="9" min="9" style="1" width="11.54"/>
    <col collapsed="false" customWidth="true" hidden="false" outlineLevel="0" max="10" min="10" style="1" width="19"/>
    <col collapsed="false" customWidth="true" hidden="false" outlineLevel="0" max="11" min="11" style="1" width="18.54"/>
    <col collapsed="false" customWidth="true" hidden="false" outlineLevel="0" max="12" min="12" style="1" width="23.36"/>
    <col collapsed="false" customWidth="true" hidden="false" outlineLevel="0" max="13" min="13" style="1" width="16.45"/>
    <col collapsed="false" customWidth="true" hidden="false" outlineLevel="0" max="14" min="14" style="1" width="13.36"/>
    <col collapsed="false" customWidth="true" hidden="false" outlineLevel="0" max="15" min="15" style="1" width="22.36"/>
    <col collapsed="false" customWidth="true" hidden="false" outlineLevel="0" max="16" min="16" style="1" width="15.63"/>
    <col collapsed="false" customWidth="true" hidden="false" outlineLevel="0" max="17" min="17" style="1" width="25.45"/>
    <col collapsed="false" customWidth="true" hidden="false" outlineLevel="0" max="18" min="18" style="1" width="30.36"/>
    <col collapsed="false" customWidth="false" hidden="false" outlineLevel="0" max="16384" min="19" style="1" width="9.36"/>
  </cols>
  <sheetData>
    <row r="1" customFormat="false" ht="15" hidden="false" customHeight="true" outlineLevel="0" collapsed="false">
      <c r="A1" s="15" t="s">
        <v>1011</v>
      </c>
      <c r="B1" s="15" t="s">
        <v>2</v>
      </c>
      <c r="C1" s="15" t="s">
        <v>489</v>
      </c>
      <c r="D1" s="15" t="s">
        <v>1251</v>
      </c>
      <c r="E1" s="15" t="s">
        <v>1300</v>
      </c>
      <c r="F1" s="15" t="s">
        <v>1313</v>
      </c>
      <c r="G1" s="15" t="s">
        <v>1178</v>
      </c>
      <c r="H1" s="15" t="s">
        <v>1321</v>
      </c>
      <c r="I1" s="15" t="s">
        <v>1322</v>
      </c>
      <c r="J1" s="15" t="s">
        <v>1323</v>
      </c>
      <c r="K1" s="15" t="s">
        <v>1324</v>
      </c>
      <c r="L1" s="15" t="s">
        <v>1325</v>
      </c>
      <c r="M1" s="15" t="s">
        <v>1316</v>
      </c>
      <c r="N1" s="15" t="s">
        <v>1317</v>
      </c>
      <c r="O1" s="15" t="s">
        <v>1318</v>
      </c>
      <c r="P1" s="15" t="s">
        <v>1326</v>
      </c>
      <c r="Q1" s="15" t="s">
        <v>1327</v>
      </c>
      <c r="R1" s="15" t="s">
        <v>1328</v>
      </c>
    </row>
  </sheetData>
  <dataValidations count="4">
    <dataValidation allowBlank="true" errorStyle="stop" operator="greaterThan" showDropDown="false" showErrorMessage="true" showInputMessage="true" sqref="M1" type="none">
      <formula1>0</formula1>
      <formula2>0</formula2>
    </dataValidation>
    <dataValidation allowBlank="true" error="Only Numbers &gt; 0" errorStyle="stop" operator="greaterThan" showDropDown="false" showErrorMessage="true" showInputMessage="true" sqref="M2:M1001" type="decimal">
      <formula1>0</formula1>
      <formula2>0</formula2>
    </dataValidation>
    <dataValidation allowBlank="true" errorStyle="stop" operator="between" showDropDown="false" showErrorMessage="true" showInputMessage="true" sqref="H2:L1001 O2:P1001" type="list">
      <formula1>Enums!$A$34:$A$35</formula1>
      <formula2>0</formula2>
    </dataValidation>
    <dataValidation allowBlank="true" errorStyle="stop" operator="between" showDropDown="false" showErrorMessage="true" showInputMessage="true" sqref="N2:N1001 R2:R1001" type="list">
      <formula1>Enums!$E$85:$E$89</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12.45"/>
    <col collapsed="false" customWidth="true" hidden="false" outlineLevel="0" max="3" min="3" style="0" width="19.63"/>
    <col collapsed="false" customWidth="true" hidden="false" outlineLevel="0" max="5" min="5" style="0" width="10"/>
    <col collapsed="false" customWidth="true" hidden="false" outlineLevel="0" max="9" min="9" style="0" width="15"/>
  </cols>
  <sheetData>
    <row r="1" s="37" customFormat="true" ht="15.75" hidden="false" customHeight="true" outlineLevel="0" collapsed="false">
      <c r="A1" s="15" t="s">
        <v>1329</v>
      </c>
      <c r="B1" s="15" t="s">
        <v>1330</v>
      </c>
      <c r="C1" s="15" t="s">
        <v>1331</v>
      </c>
      <c r="E1" s="46" t="s">
        <v>1332</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4" activeCellId="0" sqref="A4"/>
    </sheetView>
  </sheetViews>
  <sheetFormatPr defaultColWidth="17.54296875" defaultRowHeight="15" customHeight="true" zeroHeight="false" outlineLevelRow="0" outlineLevelCol="0"/>
  <cols>
    <col collapsed="false" customWidth="true" hidden="false" outlineLevel="0" max="1" min="1" style="35" width="40.54"/>
    <col collapsed="false" customWidth="true" hidden="false" outlineLevel="0" max="2" min="2" style="35" width="11.36"/>
    <col collapsed="false" customWidth="true" hidden="false" outlineLevel="0" max="3" min="3" style="35" width="10.54"/>
    <col collapsed="false" customWidth="true" hidden="false" outlineLevel="0" max="4" min="4" style="35" width="36.54"/>
    <col collapsed="false" customWidth="true" hidden="false" outlineLevel="0" max="5" min="5" style="35" width="20.45"/>
    <col collapsed="false" customWidth="true" hidden="false" outlineLevel="0" max="6" min="6" style="35" width="21"/>
    <col collapsed="false" customWidth="true" hidden="false" outlineLevel="0" max="7" min="7" style="35" width="13.63"/>
    <col collapsed="false" customWidth="true" hidden="false" outlineLevel="0" max="8" min="8" style="35" width="12.54"/>
    <col collapsed="false" customWidth="true" hidden="false" outlineLevel="0" max="9" min="9" style="35" width="15.45"/>
    <col collapsed="false" customWidth="true" hidden="false" outlineLevel="0" max="10" min="10" style="35" width="12.63"/>
    <col collapsed="false" customWidth="true" hidden="false" outlineLevel="0" max="11" min="11" style="35" width="19.45"/>
    <col collapsed="false" customWidth="true" hidden="false" outlineLevel="0" max="13" min="12" style="35" width="27.54"/>
    <col collapsed="false" customWidth="true" hidden="false" outlineLevel="0" max="14" min="14" style="35" width="31.36"/>
    <col collapsed="false" customWidth="true" hidden="false" outlineLevel="0" max="15" min="15" style="35" width="28.45"/>
    <col collapsed="false" customWidth="true" hidden="false" outlineLevel="0" max="16" min="16" style="35" width="25.63"/>
    <col collapsed="false" customWidth="true" hidden="false" outlineLevel="0" max="17" min="17" style="35" width="28.36"/>
    <col collapsed="false" customWidth="true" hidden="false" outlineLevel="0" max="18" min="18" style="35" width="26.63"/>
    <col collapsed="false" customWidth="true" hidden="false" outlineLevel="0" max="25" min="19" style="35" width="36.45"/>
    <col collapsed="false" customWidth="true" hidden="false" outlineLevel="0" max="27" min="26" style="35" width="29.45"/>
    <col collapsed="false" customWidth="true" hidden="false" outlineLevel="0" max="28" min="28" style="35" width="32.54"/>
    <col collapsed="false" customWidth="true" hidden="false" outlineLevel="0" max="29" min="29" style="35" width="30.36"/>
    <col collapsed="false" customWidth="true" hidden="false" outlineLevel="0" max="30" min="30" style="35" width="27.45"/>
    <col collapsed="false" customWidth="true" hidden="false" outlineLevel="0" max="31" min="31" style="35" width="29.63"/>
    <col collapsed="false" customWidth="true" hidden="false" outlineLevel="0" max="32" min="32" style="35" width="28.45"/>
    <col collapsed="false" customWidth="false" hidden="false" outlineLevel="0" max="16384" min="33" style="35" width="17.54"/>
  </cols>
  <sheetData>
    <row r="1" customFormat="false" ht="15" hidden="false" customHeight="true" outlineLevel="0" collapsed="false">
      <c r="A1" s="15" t="s">
        <v>1011</v>
      </c>
      <c r="B1" s="15" t="s">
        <v>2</v>
      </c>
      <c r="C1" s="15" t="s">
        <v>1251</v>
      </c>
      <c r="D1" s="15" t="s">
        <v>1333</v>
      </c>
      <c r="E1" s="15" t="s">
        <v>1334</v>
      </c>
      <c r="F1" s="15" t="s">
        <v>1335</v>
      </c>
      <c r="G1" s="15" t="s">
        <v>1336</v>
      </c>
      <c r="H1" s="15" t="s">
        <v>1337</v>
      </c>
      <c r="I1" s="15" t="s">
        <v>1338</v>
      </c>
      <c r="J1" s="15" t="s">
        <v>1339</v>
      </c>
      <c r="K1" s="15" t="s">
        <v>1340</v>
      </c>
      <c r="L1" s="15" t="s">
        <v>1341</v>
      </c>
      <c r="M1" s="15" t="s">
        <v>1342</v>
      </c>
      <c r="N1" s="15" t="s">
        <v>1343</v>
      </c>
      <c r="O1" s="15" t="s">
        <v>1344</v>
      </c>
      <c r="P1" s="15" t="s">
        <v>1345</v>
      </c>
      <c r="Q1" s="15" t="s">
        <v>1346</v>
      </c>
      <c r="R1" s="15" t="s">
        <v>1347</v>
      </c>
      <c r="S1" s="15" t="s">
        <v>1348</v>
      </c>
      <c r="T1" s="15" t="s">
        <v>1349</v>
      </c>
      <c r="U1" s="15" t="s">
        <v>1350</v>
      </c>
      <c r="V1" s="15" t="s">
        <v>1351</v>
      </c>
      <c r="W1" s="15" t="s">
        <v>1352</v>
      </c>
      <c r="X1" s="15" t="s">
        <v>1353</v>
      </c>
      <c r="Y1" s="15" t="s">
        <v>1354</v>
      </c>
      <c r="Z1" s="15" t="s">
        <v>1355</v>
      </c>
      <c r="AA1" s="15" t="s">
        <v>1356</v>
      </c>
      <c r="AB1" s="15" t="s">
        <v>1357</v>
      </c>
      <c r="AC1" s="15" t="s">
        <v>1358</v>
      </c>
      <c r="AD1" s="15" t="s">
        <v>1359</v>
      </c>
      <c r="AE1" s="15" t="s">
        <v>1360</v>
      </c>
      <c r="AF1" s="15" t="s">
        <v>1361</v>
      </c>
    </row>
  </sheetData>
  <dataValidations count="9">
    <dataValidation allowBlank="true" error="Whole Numbes Only" errorStyle="stop" errorTitle="Whole Numbes Only" operator="greaterThanOrEqual" showDropDown="false" showErrorMessage="true" showInputMessage="true" sqref="E1 E4" type="none">
      <formula1>0</formula1>
      <formula2>0</formula2>
    </dataValidation>
    <dataValidation allowBlank="true" error="Only Decimal Numbers &gt;= 1" errorStyle="stop" errorTitle="Only Decimal Numbers &gt;= 1" operator="greaterThanOrEqual" showDropDown="false" showErrorMessage="true" showInputMessage="true" sqref="Z1:AF1 Z4:AF4" type="none">
      <formula1>0</formula1>
      <formula2>0</formula2>
    </dataValidation>
    <dataValidation allowBlank="true" error="Whole Numbes Only" errorStyle="stop" errorTitle="Whole Numbes Only" operator="greaterThanOrEqual" showDropDown="false" showErrorMessage="true" showInputMessage="true" sqref="E2:E3 E5:E1001" type="whole">
      <formula1>0</formula1>
      <formula2>0</formula2>
    </dataValidation>
    <dataValidation allowBlank="true" error="Only Decimal Numbers &gt;= 1" errorStyle="stop" errorTitle="Only Decimal Numbers &gt;= 1" operator="greaterThanOrEqual" showDropDown="false" showErrorMessage="true" showInputMessage="true" sqref="Z2:AF3 Z5:AF1001" type="decimal">
      <formula1>1</formula1>
      <formula2>0</formula2>
    </dataValidation>
    <dataValidation allowBlank="true" errorStyle="stop" operator="between" showDropDown="false" showErrorMessage="true" showInputMessage="true" sqref="F2:F3 K2:R3 F5:F1001 K5:R1001" type="list">
      <formula1>Enums!$A$34:$A$35</formula1>
      <formula2>0</formula2>
    </dataValidation>
    <dataValidation allowBlank="true" errorStyle="stop" operator="between" showDropDown="false" showErrorMessage="true" showInputMessage="true" sqref="G2:G3 G5:G1001" type="list">
      <formula1>Enums!$E$92:$E$98</formula1>
      <formula2>0</formula2>
    </dataValidation>
    <dataValidation allowBlank="true" errorStyle="stop" operator="between" showDropDown="false" showErrorMessage="true" showInputMessage="true" sqref="H2:H3 H5:H1001" type="list">
      <formula1>Enums!$I$34:$I$64</formula1>
      <formula2>0</formula2>
    </dataValidation>
    <dataValidation allowBlank="true" errorStyle="stop" operator="between" showDropDown="false" showErrorMessage="true" showInputMessage="true" sqref="I2:I3 I5:I1001" type="list">
      <formula1>Enums!$I$34:$I$45</formula1>
      <formula2>0</formula2>
    </dataValidation>
    <dataValidation allowBlank="true" errorStyle="stop" operator="between" showDropDown="false" showErrorMessage="true" showInputMessage="true" sqref="D2:D1001" type="list">
      <formula1>Enums!$AG$34:$AG$135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24" activeCellId="0" sqref="D24"/>
    </sheetView>
  </sheetViews>
  <sheetFormatPr defaultColWidth="9.36328125" defaultRowHeight="15" customHeight="true" zeroHeight="false" outlineLevelRow="0" outlineLevelCol="0"/>
  <cols>
    <col collapsed="false" customWidth="true" hidden="false" outlineLevel="0" max="1" min="1" style="35" width="38"/>
    <col collapsed="false" customWidth="true" hidden="false" outlineLevel="0" max="2" min="2" style="35" width="11.36"/>
    <col collapsed="false" customWidth="true" hidden="false" outlineLevel="0" max="3" min="3" style="35" width="10.54"/>
    <col collapsed="false" customWidth="true" hidden="false" outlineLevel="0" max="4" min="4" style="35" width="40.54"/>
    <col collapsed="false" customWidth="true" hidden="false" outlineLevel="0" max="5" min="5" style="35" width="5.54"/>
    <col collapsed="false" customWidth="false" hidden="false" outlineLevel="0" max="16384" min="6" style="35" width="9.36"/>
  </cols>
  <sheetData>
    <row r="1" s="30" customFormat="true" ht="15" hidden="false" customHeight="true" outlineLevel="0" collapsed="false">
      <c r="A1" s="15" t="s">
        <v>1011</v>
      </c>
      <c r="B1" s="15" t="s">
        <v>2</v>
      </c>
      <c r="C1" s="15" t="s">
        <v>1251</v>
      </c>
      <c r="D1" s="15" t="s">
        <v>1362</v>
      </c>
      <c r="E1" s="15" t="s">
        <v>1363</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27.54296875" defaultRowHeight="15" customHeight="true" zeroHeight="false" outlineLevelRow="0" outlineLevelCol="0"/>
  <cols>
    <col collapsed="false" customWidth="true" hidden="false" outlineLevel="0" max="1" min="1" style="35" width="36.45"/>
    <col collapsed="false" customWidth="true" hidden="false" outlineLevel="0" max="2" min="2" style="35" width="16.36"/>
    <col collapsed="false" customWidth="true" hidden="false" outlineLevel="0" max="3" min="3" style="35" width="10.54"/>
    <col collapsed="false" customWidth="true" hidden="false" outlineLevel="0" max="4" min="4" style="35" width="40.54"/>
    <col collapsed="false" customWidth="true" hidden="false" outlineLevel="0" max="5" min="5" style="35" width="10.54"/>
    <col collapsed="false" customWidth="false" hidden="false" outlineLevel="0" max="16384" min="6" style="35" width="27.54"/>
  </cols>
  <sheetData>
    <row r="1" s="30" customFormat="true" ht="15" hidden="false" customHeight="true" outlineLevel="0" collapsed="false">
      <c r="A1" s="15" t="s">
        <v>1011</v>
      </c>
      <c r="B1" s="15" t="s">
        <v>2</v>
      </c>
      <c r="C1" s="15" t="s">
        <v>1251</v>
      </c>
      <c r="D1" s="15" t="s">
        <v>1362</v>
      </c>
      <c r="E1" s="15" t="s">
        <v>1364</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6" activeCellId="0" sqref="A6"/>
    </sheetView>
  </sheetViews>
  <sheetFormatPr defaultColWidth="9.36328125" defaultRowHeight="15" customHeight="true" zeroHeight="false" outlineLevelRow="0" outlineLevelCol="0"/>
  <cols>
    <col collapsed="false" customWidth="true" hidden="false" outlineLevel="0" max="2" min="1" style="35" width="38.54"/>
    <col collapsed="false" customWidth="true" hidden="false" outlineLevel="0" max="3" min="3" style="35" width="12.45"/>
    <col collapsed="false" customWidth="true" hidden="false" outlineLevel="0" max="5" min="4" style="35" width="12"/>
    <col collapsed="false" customWidth="true" hidden="false" outlineLevel="0" max="6" min="6" style="35" width="5.54"/>
    <col collapsed="false" customWidth="true" hidden="false" outlineLevel="0" max="7" min="7" style="35" width="7.36"/>
    <col collapsed="false" customWidth="true" hidden="false" outlineLevel="0" max="8" min="8" style="35" width="42.54"/>
    <col collapsed="false" customWidth="true" hidden="false" outlineLevel="0" max="10" min="9" style="35" width="16.36"/>
    <col collapsed="false" customWidth="true" hidden="false" outlineLevel="0" max="11" min="11" style="35" width="55.36"/>
    <col collapsed="false" customWidth="false" hidden="false" outlineLevel="0" max="12" min="12" style="35" width="9.36"/>
    <col collapsed="false" customWidth="true" hidden="false" outlineLevel="0" max="13" min="13" style="35" width="19.36"/>
    <col collapsed="false" customWidth="false" hidden="false" outlineLevel="0" max="14" min="14" style="35" width="9.36"/>
    <col collapsed="false" customWidth="true" hidden="false" outlineLevel="0" max="15" min="15" style="35" width="18.45"/>
    <col collapsed="false" customWidth="false" hidden="false" outlineLevel="0" max="16" min="16" style="35" width="9.36"/>
    <col collapsed="false" customWidth="true" hidden="false" outlineLevel="0" max="17" min="17" style="35" width="37.54"/>
    <col collapsed="false" customWidth="false" hidden="false" outlineLevel="0" max="16384" min="18" style="35" width="9.36"/>
  </cols>
  <sheetData>
    <row r="1" customFormat="false" ht="15" hidden="false" customHeight="true" outlineLevel="0" collapsed="false">
      <c r="A1" s="15" t="s">
        <v>1365</v>
      </c>
      <c r="B1" s="15" t="s">
        <v>1011</v>
      </c>
      <c r="C1" s="15" t="s">
        <v>1366</v>
      </c>
      <c r="D1" s="15" t="s">
        <v>1364</v>
      </c>
      <c r="E1" s="15" t="s">
        <v>1367</v>
      </c>
      <c r="F1" s="15" t="s">
        <v>1363</v>
      </c>
      <c r="G1" s="15" t="s">
        <v>1368</v>
      </c>
      <c r="H1" s="15" t="s">
        <v>1369</v>
      </c>
      <c r="I1" s="15" t="s">
        <v>1370</v>
      </c>
      <c r="J1" s="15" t="s">
        <v>1371</v>
      </c>
      <c r="K1" s="15" t="s">
        <v>1372</v>
      </c>
    </row>
  </sheetData>
  <dataValidations count="4">
    <dataValidation allowBlank="true" error="Only Decimal Numbers &gt;= 1" errorStyle="stop" errorTitle="Only Decimal Numbers &gt;= 1" operator="greaterThanOrEqual" showDropDown="false" showErrorMessage="true" showInputMessage="true" sqref="G1" type="none">
      <formula1>0</formula1>
      <formula2>0</formula2>
    </dataValidation>
    <dataValidation allowBlank="true" errorStyle="stop" operator="greaterThan" showDropDown="false" showErrorMessage="true" showInputMessage="true" sqref="C1" type="none">
      <formula1>0</formula1>
      <formula2>0</formula2>
    </dataValidation>
    <dataValidation allowBlank="true" error="Only Decimal Numbers &gt;= 1" errorStyle="stop" errorTitle="Only Decimal Numbers &gt;= 1" operator="greaterThanOrEqual" showDropDown="false" showErrorMessage="true" showInputMessage="true" sqref="G2:G1005" type="decimal">
      <formula1>1</formula1>
      <formula2>0</formula2>
    </dataValidation>
    <dataValidation allowBlank="true" error="Whole Numbers Only &gt;=1" errorStyle="stop" errorTitle="Whole Numbers Only &gt;=1" operator="greaterThan" showDropDown="false" showErrorMessage="true" showInputMessage="true" sqref="C2:C1005" type="whol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M3" activeCellId="0" sqref="M3"/>
    </sheetView>
  </sheetViews>
  <sheetFormatPr defaultColWidth="9.36328125" defaultRowHeight="15" customHeight="true" zeroHeight="false" outlineLevelRow="0" outlineLevelCol="0"/>
  <cols>
    <col collapsed="false" customWidth="true" hidden="false" outlineLevel="0" max="1" min="1" style="35" width="13.45"/>
    <col collapsed="false" customWidth="true" hidden="false" outlineLevel="0" max="2" min="2" style="47" width="11.45"/>
    <col collapsed="false" customWidth="true" hidden="false" outlineLevel="0" max="3" min="3" style="35" width="9.63"/>
    <col collapsed="false" customWidth="true" hidden="false" outlineLevel="0" max="4" min="4" style="35" width="12.54"/>
    <col collapsed="false" customWidth="true" hidden="false" outlineLevel="0" max="5" min="5" style="35" width="11.63"/>
    <col collapsed="false" customWidth="true" hidden="false" outlineLevel="0" max="6" min="6" style="35" width="11.36"/>
    <col collapsed="false" customWidth="true" hidden="false" outlineLevel="0" max="7" min="7" style="35" width="19"/>
    <col collapsed="false" customWidth="true" hidden="false" outlineLevel="0" max="8" min="8" style="35" width="21.36"/>
    <col collapsed="false" customWidth="true" hidden="false" outlineLevel="0" max="9" min="9" style="35" width="87.36"/>
    <col collapsed="false" customWidth="false" hidden="false" outlineLevel="0" max="12" min="10" style="35" width="9.36"/>
    <col collapsed="false" customWidth="true" hidden="false" outlineLevel="0" max="13" min="13" style="35" width="11.45"/>
    <col collapsed="false" customWidth="false" hidden="false" outlineLevel="0" max="16384" min="14" style="35" width="9.36"/>
  </cols>
  <sheetData>
    <row r="1" s="30" customFormat="true" ht="15.75" hidden="false" customHeight="true" outlineLevel="0" collapsed="false">
      <c r="A1" s="15" t="s">
        <v>1362</v>
      </c>
      <c r="B1" s="15" t="s">
        <v>370</v>
      </c>
      <c r="C1" s="15" t="s">
        <v>1373</v>
      </c>
      <c r="D1" s="15" t="s">
        <v>1374</v>
      </c>
      <c r="E1" s="15" t="s">
        <v>1375</v>
      </c>
      <c r="F1" s="15" t="s">
        <v>1376</v>
      </c>
      <c r="G1" s="15" t="s">
        <v>1368</v>
      </c>
      <c r="H1" s="15" t="s">
        <v>1377</v>
      </c>
      <c r="I1" s="36" t="s">
        <v>1378</v>
      </c>
      <c r="M1" s="48" t="s">
        <v>1379</v>
      </c>
    </row>
  </sheetData>
  <dataValidations count="4">
    <dataValidation allowBlank="true" errorStyle="stop" operator="between" showDropDown="false" showErrorMessage="true" showInputMessage="true" sqref="E116:E1001" type="whole">
      <formula1>1</formula1>
      <formula2>12</formula2>
    </dataValidation>
    <dataValidation allowBlank="true" errorStyle="stop" operator="between" showDropDown="false" showErrorMessage="true" showInputMessage="true" sqref="F2:F1001" type="whole">
      <formula1>1</formula1>
      <formula2>53</formula2>
    </dataValidation>
    <dataValidation allowBlank="true" errorStyle="stop" operator="greaterThan" showDropDown="false" showErrorMessage="true" showInputMessage="true" sqref="C2:C1001" type="whole">
      <formula1>1900</formula1>
      <formula2>0</formula2>
    </dataValidation>
    <dataValidation allowBlank="true" error="Only numbers &gt;=1" errorStyle="stop" errorTitle="Only numbers &gt;=1" operator="greaterThanOrEqual" showDropDown="false" showErrorMessage="true" showInputMessage="true" sqref="G2:G1001" type="decimal">
      <formula1>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S2" activePane="bottomRight" state="frozen"/>
      <selection pane="topLeft" activeCell="A1" activeCellId="0" sqref="A1"/>
      <selection pane="topRight" activeCell="S1" activeCellId="0" sqref="S1"/>
      <selection pane="bottomLeft" activeCell="A2" activeCellId="0" sqref="A2"/>
      <selection pane="bottomRight" activeCell="P38" activeCellId="0" sqref="P38"/>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10.54"/>
    <col collapsed="false" customWidth="true" hidden="false" outlineLevel="0" max="4" min="4" style="1" width="6.45"/>
    <col collapsed="false" customWidth="true" hidden="false" outlineLevel="0" max="5" min="5" style="1" width="7.36"/>
    <col collapsed="false" customWidth="true" hidden="false" outlineLevel="0" max="6" min="6" style="1" width="20.54"/>
    <col collapsed="false" customWidth="true" hidden="false" outlineLevel="0" max="7" min="7" style="1" width="22.54"/>
    <col collapsed="false" customWidth="true" hidden="false" outlineLevel="0" max="8" min="8" style="1" width="33.45"/>
    <col collapsed="false" customWidth="true" hidden="false" outlineLevel="0" max="9" min="9" style="1" width="19.54"/>
    <col collapsed="false" customWidth="true" hidden="false" outlineLevel="0" max="10" min="10" style="1" width="13.63"/>
    <col collapsed="false" customWidth="true" hidden="false" outlineLevel="0" max="11" min="11" style="1" width="31.54"/>
    <col collapsed="false" customWidth="true" hidden="false" outlineLevel="0" max="12" min="12" style="1" width="21"/>
    <col collapsed="false" customWidth="true" hidden="false" outlineLevel="0" max="13" min="13" style="1" width="15.36"/>
    <col collapsed="false" customWidth="true" hidden="false" outlineLevel="0" max="14" min="14" style="1" width="27.36"/>
    <col collapsed="false" customWidth="true" hidden="false" outlineLevel="0" max="15" min="15" style="1" width="24.45"/>
    <col collapsed="false" customWidth="true" hidden="false" outlineLevel="0" max="16" min="16" style="1" width="30.45"/>
    <col collapsed="false" customWidth="true" hidden="false" outlineLevel="0" max="17" min="17" style="1" width="17.45"/>
    <col collapsed="false" customWidth="true" hidden="false" outlineLevel="0" max="18" min="18" style="1" width="34"/>
    <col collapsed="false" customWidth="true" hidden="false" outlineLevel="0" max="19" min="19" style="1" width="18.45"/>
    <col collapsed="false" customWidth="true" hidden="false" outlineLevel="0" max="20" min="20" style="1" width="23.63"/>
    <col collapsed="false" customWidth="true" hidden="false" outlineLevel="0" max="21" min="21" style="1" width="31.63"/>
    <col collapsed="false" customWidth="true" hidden="false" outlineLevel="0" max="22" min="22" style="1" width="35.36"/>
    <col collapsed="false" customWidth="true" hidden="false" outlineLevel="0" max="23" min="23" style="1" width="18.45"/>
    <col collapsed="false" customWidth="true" hidden="false" outlineLevel="0" max="24" min="24" style="1" width="21.54"/>
    <col collapsed="false" customWidth="true" hidden="false" outlineLevel="0" max="25" min="25" style="1" width="28.54"/>
    <col collapsed="false" customWidth="false" hidden="false" outlineLevel="0" max="16384" min="26" style="1" width="9.36"/>
  </cols>
  <sheetData>
    <row r="1" customFormat="false" ht="15" hidden="false" customHeight="true" outlineLevel="0" collapsed="false">
      <c r="A1" s="15" t="s">
        <v>1011</v>
      </c>
      <c r="B1" s="15" t="s">
        <v>2</v>
      </c>
      <c r="C1" s="15" t="s">
        <v>1251</v>
      </c>
      <c r="D1" s="15" t="s">
        <v>911</v>
      </c>
      <c r="E1" s="15" t="s">
        <v>1283</v>
      </c>
      <c r="F1" s="15" t="s">
        <v>366</v>
      </c>
      <c r="G1" s="15" t="s">
        <v>1380</v>
      </c>
      <c r="H1" s="15" t="s">
        <v>1381</v>
      </c>
      <c r="I1" s="15" t="s">
        <v>1382</v>
      </c>
      <c r="J1" s="15" t="s">
        <v>1383</v>
      </c>
      <c r="K1" s="15" t="s">
        <v>1384</v>
      </c>
      <c r="L1" s="15" t="s">
        <v>1385</v>
      </c>
      <c r="M1" s="15" t="s">
        <v>1386</v>
      </c>
      <c r="N1" s="15" t="s">
        <v>1387</v>
      </c>
      <c r="O1" s="15" t="s">
        <v>1388</v>
      </c>
      <c r="P1" s="15" t="s">
        <v>740</v>
      </c>
      <c r="Q1" s="15" t="s">
        <v>1389</v>
      </c>
      <c r="R1" s="15" t="s">
        <v>1390</v>
      </c>
      <c r="S1" s="15" t="s">
        <v>1391</v>
      </c>
      <c r="T1" s="15" t="s">
        <v>1392</v>
      </c>
      <c r="U1" s="15" t="s">
        <v>1393</v>
      </c>
      <c r="V1" s="15" t="s">
        <v>1394</v>
      </c>
      <c r="W1" s="15" t="s">
        <v>1395</v>
      </c>
      <c r="X1" s="15" t="s">
        <v>1396</v>
      </c>
      <c r="Y1" s="15" t="s">
        <v>1397</v>
      </c>
    </row>
  </sheetData>
  <dataValidations count="11">
    <dataValidation allowBlank="true" error="Only Whole Numbers &gt;=1" errorStyle="stop" operator="greaterThan" showDropDown="false" showErrorMessage="true" showInputMessage="true" sqref="G2:H1001" type="whole">
      <formula1>0</formula1>
      <formula2>0</formula2>
    </dataValidation>
    <dataValidation allowBlank="true" error="Numbers Only" errorStyle="stop" errorTitle="Numbers Only" operator="between" showDropDown="false" showErrorMessage="true" showInputMessage="true" sqref="I2:I1001 K2:K1001" type="decimal">
      <formula1>-9.99999999999999E+027</formula1>
      <formula2>9.99999999999999E+028</formula2>
    </dataValidation>
    <dataValidation allowBlank="true" error="Whole Numbers Only" errorStyle="stop" errorTitle="Numbers Only" operator="between" showDropDown="false" showErrorMessage="true" showInputMessage="true" sqref="J2:J1001" type="whole">
      <formula1>-9.99999999999999E+027</formula1>
      <formula2>9.99999999999999E+028</formula2>
    </dataValidation>
    <dataValidation allowBlank="true" errorStyle="stop" operator="between" prompt="The precision of the scheduler. The smaller this value, the smaller are the roundings in the scheduler, but performance gets worse. Value in minutes&#10;" showDropDown="false" showErrorMessage="true" showInputMessage="true" sqref="P1" type="none">
      <formula1>0</formula1>
      <formula2>0</formula2>
    </dataValidation>
    <dataValidation allowBlank="true" errorStyle="stop" operator="between" showDropDown="false" showErrorMessage="true" showInputMessage="true" sqref="D2:D1001" type="list">
      <formula1>Enums!$G$48</formula1>
      <formula2>0</formula2>
    </dataValidation>
    <dataValidation allowBlank="true" errorStyle="stop" operator="between" showDropDown="false" showErrorMessage="true" showInputMessage="true" sqref="F2:F1001" type="list">
      <formula1>Enums!$G$51:$G$53</formula1>
      <formula2>0</formula2>
    </dataValidation>
    <dataValidation allowBlank="true" errorStyle="stop" operator="between" prompt="The precision of the scheduler. The smaller this value, the smaller are the roundings in the scheduler, but performance gets worse. Value in minutes&#10;" showDropDown="false" showErrorMessage="true" showInputMessage="true" sqref="L2:L1001" type="list">
      <formula1>Enums!$G$56:$G$57</formula1>
      <formula2>0</formula2>
    </dataValidation>
    <dataValidation allowBlank="true" errorStyle="stop" operator="between" prompt="The precision of the scheduler. The smaller this value, the smaller are the roundings in the scheduler, but performance gets worse. Value in minutes&#10;" showDropDown="false" showErrorMessage="true" showInputMessage="true" sqref="N2:N1001 P2:P1001" type="list">
      <formula1>Enums!$G$60:$G$61</formula1>
      <formula2>0</formula2>
    </dataValidation>
    <dataValidation allowBlank="true" errorStyle="stop" operator="between" prompt="The precision of the scheduler. The smaller this value, the smaller are the roundings in the scheduler, but performance gets worse. Value in minutes&#10;" showDropDown="false" showErrorMessage="true" showInputMessage="true" sqref="M2:M1001 O2:O1001 Q2:S1001" type="list">
      <formula1>Enums!$A$34:$A$35</formula1>
      <formula2>0</formula2>
    </dataValidation>
    <dataValidation allowBlank="true" errorStyle="stop" operator="between" prompt="The precision of the scheduler. The smaller this value, the smaller are the roundings in the scheduler, but performance gets worse. Value in minutes&#10;" showDropDown="false" showErrorMessage="true" showInputMessage="true" sqref="T2:T1001" type="list">
      <formula1>Enums!$G$64:$G$65</formula1>
      <formula2>0</formula2>
    </dataValidation>
    <dataValidation allowBlank="true" errorStyle="stop" operator="between" showDropDown="false" showErrorMessage="true" showInputMessage="true" sqref="U2:Y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8" activeCellId="0" sqref="P38"/>
    </sheetView>
  </sheetViews>
  <sheetFormatPr defaultColWidth="9.36328125" defaultRowHeight="15" customHeight="true" zeroHeight="false" outlineLevelRow="0" outlineLevelCol="0"/>
  <cols>
    <col collapsed="false" customWidth="false" hidden="false" outlineLevel="0" max="1" min="1" style="1" width="9.36"/>
    <col collapsed="false" customWidth="true" hidden="false" outlineLevel="0" max="2" min="2" style="1" width="6.45"/>
    <col collapsed="false" customWidth="true" hidden="false" outlineLevel="0" max="3" min="3" style="1" width="32.45"/>
    <col collapsed="false" customWidth="true" hidden="false" outlineLevel="0" max="4" min="4" style="1" width="7.54"/>
    <col collapsed="false" customWidth="false" hidden="false" outlineLevel="0" max="16384" min="5" style="1" width="9.36"/>
  </cols>
  <sheetData>
    <row r="1" customFormat="false" ht="15" hidden="false" customHeight="true" outlineLevel="0" collapsed="false">
      <c r="A1" s="15" t="s">
        <v>1398</v>
      </c>
      <c r="B1" s="15" t="s">
        <v>1277</v>
      </c>
      <c r="C1" s="15" t="s">
        <v>1399</v>
      </c>
      <c r="D1" s="15" t="s">
        <v>1400</v>
      </c>
    </row>
  </sheetData>
  <dataValidations count="4">
    <dataValidation allowBlank="true" errorStyle="stop" operator="greaterThanOrEqual" showDropDown="false" showErrorMessage="true" showInputMessage="true" sqref="B1" type="none">
      <formula1>0</formula1>
      <formula2>0</formula2>
    </dataValidation>
    <dataValidation allowBlank="true" error="Only Whole Numbers between 0 and 100" errorStyle="stop" operator="between" showDropDown="false" showErrorMessage="true" showInputMessage="true" sqref="D2:D1001" type="whole">
      <formula1>0</formula1>
      <formula2>100</formula2>
    </dataValidation>
    <dataValidation allowBlank="true" error="Whole Numbers Only" errorStyle="stop" operator="greaterThanOrEqual" showDropDown="false" showErrorMessage="true" showInputMessage="true" sqref="B2:B1001" type="whole">
      <formula1>1</formula1>
      <formula2>0</formula2>
    </dataValidation>
    <dataValidation allowBlank="true" errorStyle="stop" operator="between" showDropDown="false" showErrorMessage="true" showInputMessage="true" sqref="C2:C40" type="list">
      <formula1>Enums!$G$34:$G$45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8" activeCellId="0" sqref="P38"/>
    </sheetView>
  </sheetViews>
  <sheetFormatPr defaultColWidth="9.36328125" defaultRowHeight="15" customHeight="true" zeroHeight="false" outlineLevelRow="0" outlineLevelCol="0"/>
  <cols>
    <col collapsed="false" customWidth="false" hidden="false" outlineLevel="0" max="1" min="1" style="1" width="9.36"/>
    <col collapsed="false" customWidth="true" hidden="false" outlineLevel="0" max="2" min="2" style="1" width="6.45"/>
    <col collapsed="false" customWidth="true" hidden="false" outlineLevel="0" max="3" min="3" style="1" width="8.54"/>
    <col collapsed="false" customWidth="true" hidden="false" outlineLevel="0" max="4" min="4" style="1" width="12.54"/>
    <col collapsed="false" customWidth="false" hidden="false" outlineLevel="0" max="16384" min="5" style="1" width="9.36"/>
  </cols>
  <sheetData>
    <row r="1" customFormat="false" ht="15" hidden="false" customHeight="true" outlineLevel="0" collapsed="false">
      <c r="A1" s="15" t="s">
        <v>1398</v>
      </c>
      <c r="B1" s="15" t="s">
        <v>1277</v>
      </c>
      <c r="C1" s="15" t="s">
        <v>1401</v>
      </c>
      <c r="D1" s="15" t="s">
        <v>1402</v>
      </c>
    </row>
  </sheetData>
  <dataValidations count="4">
    <dataValidation allowBlank="true" errorStyle="stop" operator="greaterThanOrEqual" showDropDown="false" showErrorMessage="true" showInputMessage="true" sqref="B1" type="none">
      <formula1>0</formula1>
      <formula2>0</formula2>
    </dataValidation>
    <dataValidation allowBlank="true" error="Whole Numbers Only" errorStyle="stop" operator="greaterThanOrEqual" showDropDown="false" showErrorMessage="true" showInputMessage="true" sqref="B2:B1001" type="whole">
      <formula1>1</formula1>
      <formula2>0</formula2>
    </dataValidation>
    <dataValidation allowBlank="true" errorStyle="stop" operator="between" showDropDown="false" showErrorMessage="true" showInputMessage="true" sqref="D2:D1001" type="list">
      <formula1>Enums!$G$82:$G$83</formula1>
      <formula2>0</formula2>
    </dataValidation>
    <dataValidation allowBlank="true" errorStyle="stop" operator="between" showDropDown="false" showErrorMessage="true" showInputMessage="true" sqref="C2:C1001" type="list">
      <formula1>Enums!$G$68:$G$79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8" activeCellId="0" sqref="P38"/>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false" hidden="false" outlineLevel="0" max="3" min="3" style="1" width="9.36"/>
    <col collapsed="false" customWidth="true" hidden="false" outlineLevel="0" max="4" min="4" style="1" width="17.45"/>
    <col collapsed="false" customWidth="true" hidden="false" outlineLevel="0" max="5" min="5" style="1" width="15"/>
    <col collapsed="false" customWidth="true" hidden="false" outlineLevel="0" max="6" min="6" style="1" width="15.54"/>
    <col collapsed="false" customWidth="true" hidden="false" outlineLevel="0" max="7" min="7" style="1" width="12.63"/>
    <col collapsed="false" customWidth="true" hidden="false" outlineLevel="0" max="8" min="8" style="1" width="17.45"/>
    <col collapsed="false" customWidth="true" hidden="false" outlineLevel="0" max="9" min="9" style="1" width="18.45"/>
    <col collapsed="false" customWidth="false" hidden="false" outlineLevel="0" max="16384" min="10" style="1" width="9.36"/>
  </cols>
  <sheetData>
    <row r="1" customFormat="false" ht="15" hidden="false" customHeight="true" outlineLevel="0" collapsed="false">
      <c r="A1" s="15" t="s">
        <v>1011</v>
      </c>
      <c r="B1" s="15" t="s">
        <v>2</v>
      </c>
      <c r="C1" s="15" t="s">
        <v>1398</v>
      </c>
      <c r="D1" s="15" t="s">
        <v>1403</v>
      </c>
      <c r="E1" s="15" t="s">
        <v>489</v>
      </c>
      <c r="F1" s="15" t="s">
        <v>1404</v>
      </c>
      <c r="G1" s="15" t="s">
        <v>1405</v>
      </c>
      <c r="H1" s="15" t="s">
        <v>1389</v>
      </c>
      <c r="I1" s="15" t="s">
        <v>1391</v>
      </c>
    </row>
  </sheetData>
  <dataValidations count="1">
    <dataValidation allowBlank="true" errorStyle="stop" operator="between" showDropDown="false" showErrorMessage="true" showInputMessage="true" sqref="E2:F1001" type="list">
      <formula1>Enums!$AM$40:$AM$42</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9" activeCellId="0" sqref="A9"/>
    </sheetView>
  </sheetViews>
  <sheetFormatPr defaultColWidth="9.36328125" defaultRowHeight="15" customHeight="true" zeroHeight="false" outlineLevelRow="0" outlineLevelCol="0"/>
  <cols>
    <col collapsed="false" customWidth="true" hidden="false" outlineLevel="0" max="1" min="1" style="1" width="20.63"/>
    <col collapsed="false" customWidth="true" hidden="false" outlineLevel="0" max="2" min="2" style="1" width="28.45"/>
    <col collapsed="false" customWidth="true" hidden="false" outlineLevel="0" max="3" min="3" style="1" width="10.54"/>
    <col collapsed="false" customWidth="false" hidden="false" outlineLevel="0" max="16384" min="4" style="1" width="9.36"/>
  </cols>
  <sheetData>
    <row r="1" customFormat="false" ht="15" hidden="false" customHeight="true" outlineLevel="0" collapsed="false">
      <c r="A1" s="15" t="s">
        <v>1011</v>
      </c>
      <c r="B1" s="15" t="s">
        <v>2</v>
      </c>
      <c r="C1" s="15" t="s">
        <v>1251</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I1" activeCellId="0" sqref="I1"/>
    </sheetView>
  </sheetViews>
  <sheetFormatPr defaultColWidth="10.54296875" defaultRowHeight="15" customHeight="true" zeroHeight="false" outlineLevelRow="0" outlineLevelCol="0"/>
  <cols>
    <col collapsed="false" customWidth="true" hidden="false" outlineLevel="0" max="1" min="1" style="0" width="16.45"/>
    <col collapsed="false" customWidth="true" hidden="false" outlineLevel="0" max="2" min="2" style="0" width="20.36"/>
    <col collapsed="false" customWidth="true" hidden="false" outlineLevel="0" max="4" min="4" style="0" width="10.36"/>
    <col collapsed="false" customWidth="true" hidden="false" outlineLevel="0" max="5" min="5" style="0" width="9.45"/>
    <col collapsed="false" customWidth="true" hidden="false" outlineLevel="0" max="6" min="6" style="0" width="21.36"/>
    <col collapsed="false" customWidth="true" hidden="false" outlineLevel="0" max="7" min="7" style="0" width="20.36"/>
    <col collapsed="false" customWidth="true" hidden="false" outlineLevel="0" max="8" min="8" style="0" width="19.45"/>
  </cols>
  <sheetData>
    <row r="1" s="42" customFormat="true" ht="15" hidden="false" customHeight="true" outlineLevel="0" collapsed="false">
      <c r="A1" s="15" t="s">
        <v>1011</v>
      </c>
      <c r="B1" s="15" t="s">
        <v>2</v>
      </c>
      <c r="C1" s="15" t="s">
        <v>1251</v>
      </c>
      <c r="D1" s="15" t="s">
        <v>1172</v>
      </c>
      <c r="E1" s="15" t="s">
        <v>1406</v>
      </c>
      <c r="F1" s="15" t="s">
        <v>1407</v>
      </c>
      <c r="G1" s="15" t="s">
        <v>1408</v>
      </c>
      <c r="H1" s="15" t="s">
        <v>1409</v>
      </c>
    </row>
  </sheetData>
  <dataValidations count="1">
    <dataValidation allowBlank="true" errorStyle="stop" operator="between" showDropDown="false" showErrorMessage="true" showInputMessage="true" sqref="E1 E3:E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3" activeCellId="0" sqref="G3"/>
    </sheetView>
  </sheetViews>
  <sheetFormatPr defaultColWidth="9.36328125" defaultRowHeight="15" customHeight="true" zeroHeight="false" outlineLevelRow="0" outlineLevelCol="0"/>
  <cols>
    <col collapsed="false" customWidth="true" hidden="false" outlineLevel="0" max="1" min="1" style="35" width="16.54"/>
    <col collapsed="false" customWidth="true" hidden="false" outlineLevel="0" max="2" min="2" style="35" width="28.54"/>
    <col collapsed="false" customWidth="true" hidden="false" outlineLevel="0" max="3" min="3" style="35" width="18.36"/>
    <col collapsed="false" customWidth="true" hidden="false" outlineLevel="0" max="4" min="4" style="35" width="10.54"/>
    <col collapsed="false" customWidth="true" hidden="false" outlineLevel="0" max="5" min="5" style="35" width="12.54"/>
    <col collapsed="false" customWidth="true" hidden="false" outlineLevel="0" max="6" min="6" style="35" width="25.63"/>
    <col collapsed="false" customWidth="true" hidden="false" outlineLevel="0" max="7" min="7" style="35" width="16.45"/>
    <col collapsed="false" customWidth="true" hidden="false" outlineLevel="0" max="8" min="8" style="35" width="16.54"/>
    <col collapsed="false" customWidth="true" hidden="false" outlineLevel="0" max="9" min="9" style="35" width="17.45"/>
    <col collapsed="false" customWidth="true" hidden="false" outlineLevel="0" max="10" min="10" style="35" width="11.63"/>
    <col collapsed="false" customWidth="true" hidden="false" outlineLevel="0" max="11" min="11" style="35" width="19.36"/>
    <col collapsed="false" customWidth="true" hidden="false" outlineLevel="0" max="12" min="12" style="35" width="6.45"/>
    <col collapsed="false" customWidth="true" hidden="false" outlineLevel="0" max="13" min="13" style="35" width="17.54"/>
    <col collapsed="false" customWidth="true" hidden="false" outlineLevel="0" max="14" min="14" style="35" width="8"/>
    <col collapsed="false" customWidth="true" hidden="false" outlineLevel="0" max="15" min="15" style="35" width="12.54"/>
    <col collapsed="false" customWidth="true" hidden="false" outlineLevel="0" max="16" min="16" style="35" width="15.54"/>
    <col collapsed="false" customWidth="true" hidden="false" outlineLevel="0" max="17" min="17" style="35" width="16.54"/>
    <col collapsed="false" customWidth="true" hidden="false" outlineLevel="0" max="18" min="18" style="35" width="10.45"/>
    <col collapsed="false" customWidth="true" hidden="false" outlineLevel="0" max="19" min="19" style="35" width="4.45"/>
    <col collapsed="false" customWidth="true" hidden="false" outlineLevel="0" max="20" min="20" style="35" width="17.45"/>
    <col collapsed="false" customWidth="false" hidden="false" outlineLevel="0" max="16384" min="21" style="35" width="9.36"/>
  </cols>
  <sheetData>
    <row r="1" s="30" customFormat="true" ht="15" hidden="false" customHeight="true" outlineLevel="0" collapsed="false">
      <c r="A1" s="15" t="s">
        <v>1011</v>
      </c>
      <c r="B1" s="15" t="s">
        <v>2</v>
      </c>
      <c r="C1" s="15" t="s">
        <v>489</v>
      </c>
      <c r="D1" s="15" t="s">
        <v>1251</v>
      </c>
      <c r="E1" s="15" t="s">
        <v>1410</v>
      </c>
      <c r="F1" s="15" t="s">
        <v>1411</v>
      </c>
      <c r="G1" s="15" t="s">
        <v>1174</v>
      </c>
      <c r="H1" s="15" t="s">
        <v>1412</v>
      </c>
      <c r="I1" s="15" t="s">
        <v>1413</v>
      </c>
      <c r="J1" s="49" t="s">
        <v>1414</v>
      </c>
      <c r="K1" s="35"/>
    </row>
  </sheetData>
  <dataValidations count="2">
    <dataValidation allowBlank="true" error="Whole numbers Only" errorStyle="stop" operator="greaterThanOrEqual" showDropDown="false" showErrorMessage="true" showInputMessage="true" sqref="E1:E1001" type="whole">
      <formula1>0</formula1>
      <formula2>0</formula2>
    </dataValidation>
    <dataValidation allowBlank="true" errorStyle="stop" operator="between" showDropDown="false" showErrorMessage="true" showInputMessage="true" sqref="H2:H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11" activeCellId="0" sqref="B11"/>
    </sheetView>
  </sheetViews>
  <sheetFormatPr defaultColWidth="10.00390625" defaultRowHeight="15" customHeight="true" zeroHeight="false" outlineLevelRow="0" outlineLevelCol="0"/>
  <cols>
    <col collapsed="false" customWidth="true" hidden="false" outlineLevel="0" max="1" min="1" style="35" width="37.45"/>
    <col collapsed="false" customWidth="true" hidden="false" outlineLevel="0" max="2" min="2" style="35" width="60.36"/>
    <col collapsed="false" customWidth="true" hidden="false" outlineLevel="0" max="4" min="3" style="35" width="10.54"/>
    <col collapsed="false" customWidth="true" hidden="false" outlineLevel="0" max="5" min="5" style="35" width="15.63"/>
    <col collapsed="false" customWidth="true" hidden="false" outlineLevel="0" max="6" min="6" style="35" width="12.54"/>
    <col collapsed="false" customWidth="true" hidden="false" outlineLevel="0" max="7" min="7" style="35" width="9.45"/>
    <col collapsed="false" customWidth="true" hidden="false" outlineLevel="0" max="8" min="8" style="35" width="16.54"/>
    <col collapsed="false" customWidth="true" hidden="false" outlineLevel="0" max="9" min="9" style="35" width="38.54"/>
    <col collapsed="false" customWidth="true" hidden="false" outlineLevel="0" max="10" min="10" style="35" width="40.54"/>
    <col collapsed="false" customWidth="true" hidden="false" outlineLevel="0" max="11" min="11" style="35" width="9.36"/>
    <col collapsed="false" customWidth="true" hidden="false" outlineLevel="0" max="12" min="12" style="35" width="20.54"/>
    <col collapsed="false" customWidth="true" hidden="false" outlineLevel="0" max="13" min="13" style="35" width="10.63"/>
    <col collapsed="false" customWidth="true" hidden="false" outlineLevel="0" max="14" min="14" style="35" width="18.63"/>
    <col collapsed="false" customWidth="true" hidden="false" outlineLevel="0" max="15" min="15" style="35" width="26.54"/>
    <col collapsed="false" customWidth="true" hidden="false" outlineLevel="0" max="16" min="16" style="35" width="9.54"/>
    <col collapsed="false" customWidth="true" hidden="false" outlineLevel="0" max="17" min="17" style="35" width="9.45"/>
    <col collapsed="false" customWidth="true" hidden="false" outlineLevel="0" max="18" min="18" style="35" width="12.36"/>
    <col collapsed="false" customWidth="true" hidden="false" outlineLevel="0" max="20" min="19" style="35" width="20.45"/>
    <col collapsed="false" customWidth="true" hidden="false" outlineLevel="0" max="21" min="21" style="35" width="14.54"/>
    <col collapsed="false" customWidth="true" hidden="false" outlineLevel="0" max="22" min="22" style="35" width="16.36"/>
    <col collapsed="false" customWidth="true" hidden="false" outlineLevel="0" max="23" min="23" style="35" width="11.63"/>
    <col collapsed="false" customWidth="false" hidden="false" outlineLevel="0" max="16384" min="24" style="35" width="10"/>
  </cols>
  <sheetData>
    <row r="1" customFormat="false" ht="15" hidden="false" customHeight="true" outlineLevel="0" collapsed="false">
      <c r="A1" s="15" t="s">
        <v>1011</v>
      </c>
      <c r="B1" s="15" t="s">
        <v>2</v>
      </c>
      <c r="C1" s="15" t="s">
        <v>489</v>
      </c>
      <c r="D1" s="15" t="s">
        <v>1251</v>
      </c>
      <c r="E1" s="15" t="s">
        <v>922</v>
      </c>
      <c r="F1" s="15" t="s">
        <v>1410</v>
      </c>
      <c r="G1" s="15" t="s">
        <v>1039</v>
      </c>
      <c r="H1" s="15" t="s">
        <v>1415</v>
      </c>
      <c r="I1" s="15" t="s">
        <v>1416</v>
      </c>
      <c r="J1" s="41" t="s">
        <v>1362</v>
      </c>
      <c r="K1" s="41" t="s">
        <v>1398</v>
      </c>
      <c r="L1" s="50" t="s">
        <v>1417</v>
      </c>
      <c r="M1" s="41" t="s">
        <v>1418</v>
      </c>
      <c r="N1" s="41" t="s">
        <v>1419</v>
      </c>
      <c r="O1" s="41" t="s">
        <v>1420</v>
      </c>
      <c r="P1" s="41" t="s">
        <v>1421</v>
      </c>
      <c r="Q1" s="41" t="s">
        <v>1085</v>
      </c>
      <c r="R1" s="41" t="s">
        <v>1422</v>
      </c>
      <c r="S1" s="41" t="s">
        <v>1423</v>
      </c>
      <c r="T1" s="41" t="s">
        <v>1424</v>
      </c>
      <c r="U1" s="41" t="s">
        <v>1425</v>
      </c>
      <c r="V1" s="41" t="s">
        <v>1426</v>
      </c>
      <c r="W1" s="49" t="s">
        <v>1427</v>
      </c>
    </row>
  </sheetData>
  <dataValidations count="4">
    <dataValidation allowBlank="true" errorStyle="stop" operator="greaterThanOrEqual" showDropDown="false" showErrorMessage="true" showInputMessage="true" sqref="F1" type="none">
      <formula1>0</formula1>
      <formula2>0</formula2>
    </dataValidation>
    <dataValidation allowBlank="true" error="Whole Numbers Only" errorStyle="stop" operator="greaterThanOrEqual" showDropDown="false" showErrorMessage="true" showInputMessage="true" sqref="F2:F1001" type="whole">
      <formula1>0</formula1>
      <formula2>0</formula2>
    </dataValidation>
    <dataValidation allowBlank="true" errorStyle="stop" operator="between" showDropDown="false" showErrorMessage="true" showInputMessage="true" sqref="N2:N1001 P2:P1001 R2:R1001" type="list">
      <formula1>Enums!$A$34:$A$35</formula1>
      <formula2>0</formula2>
    </dataValidation>
    <dataValidation allowBlank="true" errorStyle="stop" operator="between" showDropDown="false" showErrorMessage="true" showInputMessage="true" sqref="G2:G1001" type="list">
      <formula1>Enums!$AC$91:$AC$93</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80" activePane="bottomRight" state="frozen"/>
      <selection pane="topLeft" activeCell="A1" activeCellId="0" sqref="A1"/>
      <selection pane="topRight" activeCell="B1" activeCellId="0" sqref="B1"/>
      <selection pane="bottomLeft" activeCell="A80" activeCellId="0" sqref="A80"/>
      <selection pane="bottomRight" activeCell="B104" activeCellId="0" sqref="B104"/>
    </sheetView>
  </sheetViews>
  <sheetFormatPr defaultColWidth="9.36328125" defaultRowHeight="15" customHeight="true" zeroHeight="false" outlineLevelRow="0" outlineLevelCol="0"/>
  <cols>
    <col collapsed="false" customWidth="true" hidden="false" outlineLevel="0" max="1" min="1" style="1" width="43.45"/>
    <col collapsed="false" customWidth="true" hidden="false" outlineLevel="0" max="2" min="2" style="1" width="29"/>
    <col collapsed="false" customWidth="true" hidden="false" outlineLevel="0" max="3" min="3" style="1" width="9"/>
    <col collapsed="false" customWidth="true" hidden="false" outlineLevel="0" max="4" min="4" style="1" width="10.54"/>
    <col collapsed="false" customWidth="true" hidden="false" outlineLevel="0" max="5" min="5" style="1" width="16.54"/>
    <col collapsed="false" customWidth="true" hidden="false" outlineLevel="0" max="6" min="6" style="1" width="9.54"/>
    <col collapsed="false" customWidth="false" hidden="false" outlineLevel="0" max="7" min="7" style="1" width="9.36"/>
    <col collapsed="false" customWidth="true" hidden="false" outlineLevel="0" max="8" min="8" style="1" width="28.54"/>
    <col collapsed="false" customWidth="false" hidden="false" outlineLevel="0" max="16384" min="9" style="1" width="9.36"/>
  </cols>
  <sheetData>
    <row r="1" customFormat="false" ht="15" hidden="false" customHeight="true" outlineLevel="0" collapsed="false">
      <c r="A1" s="15" t="s">
        <v>1011</v>
      </c>
      <c r="B1" s="15" t="s">
        <v>2</v>
      </c>
      <c r="C1" s="15" t="s">
        <v>489</v>
      </c>
      <c r="D1" s="15" t="s">
        <v>1251</v>
      </c>
      <c r="E1" s="15" t="s">
        <v>1428</v>
      </c>
      <c r="F1" s="15" t="s">
        <v>1189</v>
      </c>
    </row>
  </sheetData>
  <autoFilter ref="A1:J100"/>
  <conditionalFormatting sqref="A80:A81">
    <cfRule type="duplicateValues" priority="2" aboveAverage="0" equalAverage="0" bottom="0" percent="0" rank="0" text="" dxfId="14"/>
  </conditionalFormatting>
  <conditionalFormatting sqref="A75:A77">
    <cfRule type="duplicateValues" priority="3" aboveAverage="0" equalAverage="0" bottom="0" percent="0" rank="0" text="" dxfId="15"/>
  </conditionalFormatting>
  <conditionalFormatting sqref="A74">
    <cfRule type="duplicateValues" priority="4" aboveAverage="0" equalAverage="0" bottom="0" percent="0" rank="0" text="" dxfId="16"/>
  </conditionalFormatting>
  <conditionalFormatting sqref="A78:A79">
    <cfRule type="duplicateValues" priority="5" aboveAverage="0" equalAverage="0" bottom="0" percent="0" rank="0" text="" dxfId="17"/>
  </conditionalFormatting>
  <conditionalFormatting sqref="A49">
    <cfRule type="duplicateValues" priority="6" aboveAverage="0" equalAverage="0" bottom="0" percent="0" rank="0" text="" dxfId="18"/>
  </conditionalFormatting>
  <conditionalFormatting sqref="A50 A52:A53">
    <cfRule type="duplicateValues" priority="7" aboveAverage="0" equalAverage="0" bottom="0" percent="0" rank="0" text="" dxfId="19"/>
  </conditionalFormatting>
  <conditionalFormatting sqref="A109">
    <cfRule type="duplicateValues" priority="8" aboveAverage="0" equalAverage="0" bottom="0" percent="0" rank="0" text="" dxfId="20"/>
  </conditionalFormatting>
  <conditionalFormatting sqref="A39:A46">
    <cfRule type="duplicateValues" priority="9" aboveAverage="0" equalAverage="0" bottom="0" percent="0" rank="0" text="" dxfId="21"/>
  </conditionalFormatting>
  <dataValidations count="3">
    <dataValidation allowBlank="true" errorStyle="stop" operator="between" showDropDown="false" showErrorMessage="true" showInputMessage="true" sqref="D322:D1001" type="list">
      <formula1>"Yes,No"</formula1>
      <formula2>0</formula2>
    </dataValidation>
    <dataValidation allowBlank="true" errorStyle="stop" operator="between" showDropDown="false" showErrorMessage="true" showInputMessage="true" sqref="G37:G38 G90 F102:F1001" type="list">
      <formula1>Enums!$A$34:$A$35</formula1>
      <formula2>0</formula2>
    </dataValidation>
    <dataValidation allowBlank="true" errorStyle="stop" operator="between" showDropDown="false" showErrorMessage="true" showInputMessage="true" sqref="E102:E1001" type="list">
      <formula1>Enums!$K$41:$K$45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8" activeCellId="0" sqref="P38"/>
    </sheetView>
  </sheetViews>
  <sheetFormatPr defaultColWidth="9.36328125" defaultRowHeight="14.25" customHeight="false" zeroHeight="false" outlineLevelRow="0" outlineLevelCol="0"/>
  <cols>
    <col collapsed="false" customWidth="true" hidden="false" outlineLevel="0" max="1" min="1" style="1" width="12.36"/>
    <col collapsed="false" customWidth="true" hidden="false" outlineLevel="0" max="2" min="2" style="1" width="11.54"/>
    <col collapsed="false" customWidth="false" hidden="false" outlineLevel="0" max="16384" min="3" style="1" width="9.36"/>
  </cols>
  <sheetData>
    <row r="1" customFormat="false" ht="14.25" hidden="false" customHeight="false" outlineLevel="0" collapsed="false">
      <c r="A1" s="15" t="s">
        <v>1217</v>
      </c>
      <c r="B1" s="15" t="s">
        <v>1219</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137" activePane="bottomRight" state="frozen"/>
      <selection pane="topLeft" activeCell="A1" activeCellId="0" sqref="A1"/>
      <selection pane="topRight" activeCell="B1" activeCellId="0" sqref="B1"/>
      <selection pane="bottomLeft" activeCell="A137" activeCellId="0" sqref="A137"/>
      <selection pane="bottomRight" activeCell="A150" activeCellId="0" sqref="A150"/>
    </sheetView>
  </sheetViews>
  <sheetFormatPr defaultColWidth="9.36328125" defaultRowHeight="15" customHeight="true" zeroHeight="false" outlineLevelRow="0" outlineLevelCol="0"/>
  <cols>
    <col collapsed="false" customWidth="true" hidden="false" outlineLevel="0" max="1" min="1" style="1" width="91.63"/>
    <col collapsed="false" customWidth="true" hidden="false" outlineLevel="0" max="2" min="2" style="1" width="11.36"/>
    <col collapsed="false" customWidth="true" hidden="false" outlineLevel="0" max="3" min="3" style="1" width="10.54"/>
    <col collapsed="false" customWidth="true" hidden="false" outlineLevel="0" max="4" min="4" style="1" width="11.54"/>
    <col collapsed="false" customWidth="true" hidden="false" outlineLevel="0" max="5" min="5" style="1" width="8.63"/>
    <col collapsed="false" customWidth="true" hidden="false" outlineLevel="0" max="6" min="6" style="1" width="21.45"/>
    <col collapsed="false" customWidth="true" hidden="false" outlineLevel="0" max="7" min="7" style="1" width="25.54"/>
    <col collapsed="false" customWidth="true" hidden="false" outlineLevel="0" max="8" min="8" style="1" width="12.36"/>
    <col collapsed="false" customWidth="true" hidden="false" outlineLevel="0" max="9" min="9" style="1" width="25.54"/>
    <col collapsed="false" customWidth="false" hidden="false" outlineLevel="0" max="11" min="10" style="1" width="9.36"/>
    <col collapsed="false" customWidth="true" hidden="false" outlineLevel="0" max="12" min="12" style="1" width="16.54"/>
    <col collapsed="false" customWidth="false" hidden="false" outlineLevel="0" max="16384" min="13" style="1" width="9.36"/>
  </cols>
  <sheetData>
    <row r="1" s="35" customFormat="true" ht="15" hidden="false" customHeight="true" outlineLevel="0" collapsed="false">
      <c r="A1" s="15" t="s">
        <v>1011</v>
      </c>
      <c r="B1" s="15" t="s">
        <v>2</v>
      </c>
      <c r="C1" s="15" t="s">
        <v>1251</v>
      </c>
      <c r="D1" s="15" t="s">
        <v>1429</v>
      </c>
      <c r="E1" s="15" t="s">
        <v>1430</v>
      </c>
      <c r="F1" s="15" t="s">
        <v>1431</v>
      </c>
      <c r="G1" s="15" t="s">
        <v>1432</v>
      </c>
      <c r="H1" s="15" t="s">
        <v>1433</v>
      </c>
      <c r="I1" s="15" t="s">
        <v>1434</v>
      </c>
      <c r="J1" s="51"/>
    </row>
  </sheetData>
  <autoFilter ref="A1:J147"/>
  <dataValidations count="2">
    <dataValidation allowBlank="true" errorStyle="stop" operator="between" showDropDown="false" showErrorMessage="true" showInputMessage="true" sqref="D1 D146 D161:D1001" type="list">
      <formula1>Enums!$K$47:$K$51</formula1>
      <formula2>0</formula2>
    </dataValidation>
    <dataValidation allowBlank="true" errorStyle="stop" operator="between" showDropDown="false" showErrorMessage="true" showInputMessage="true" sqref="F161:G1001 I161:I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L37" activeCellId="0" sqref="L37"/>
    </sheetView>
  </sheetViews>
  <sheetFormatPr defaultColWidth="9.36328125" defaultRowHeight="15" customHeight="true" zeroHeight="false" outlineLevelRow="0" outlineLevelCol="0"/>
  <cols>
    <col collapsed="false" customWidth="true" hidden="false" outlineLevel="0" max="1" min="1" style="1" width="10.54"/>
    <col collapsed="false" customWidth="true" hidden="false" outlineLevel="0" max="2" min="2" style="1" width="7"/>
    <col collapsed="false" customWidth="true" hidden="false" outlineLevel="0" max="3" min="3" style="1" width="7.54"/>
    <col collapsed="false" customWidth="false" hidden="false" outlineLevel="0" max="16384" min="4" style="1" width="9.36"/>
  </cols>
  <sheetData>
    <row r="1" customFormat="false" ht="15" hidden="false" customHeight="true" outlineLevel="0" collapsed="false">
      <c r="A1" s="15" t="s">
        <v>1435</v>
      </c>
      <c r="B1" s="15" t="s">
        <v>733</v>
      </c>
      <c r="C1" s="15" t="s">
        <v>1280</v>
      </c>
    </row>
  </sheetData>
  <dataValidations count="2">
    <dataValidation allowBlank="true" error="Whole Numbers Only" errorStyle="stop" operator="greaterThanOrEqual" showDropDown="false" showErrorMessage="true" showInputMessage="true" sqref="C2:C1001" type="whole">
      <formula1>1</formula1>
      <formula2>0</formula2>
    </dataValidation>
    <dataValidation allowBlank="true" errorStyle="stop" operator="greaterThanOrEqual" showDropDown="false" showErrorMessage="true" showInputMessage="true" sqref="C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9.36328125" defaultRowHeight="15" customHeight="true" zeroHeight="false" outlineLevelRow="0" outlineLevelCol="0"/>
  <cols>
    <col collapsed="false" customWidth="true" hidden="false" outlineLevel="0" max="1" min="1" style="1" width="5.45"/>
    <col collapsed="false" customWidth="true" hidden="false" outlineLevel="0" max="2" min="2" style="1" width="6.45"/>
    <col collapsed="false" customWidth="true" hidden="false" outlineLevel="0" max="3" min="3" style="1" width="11.36"/>
    <col collapsed="false" customWidth="true" hidden="false" outlineLevel="0" max="4" min="4" style="1" width="6.45"/>
    <col collapsed="false" customWidth="false" hidden="false" outlineLevel="0" max="5" min="5" style="1" width="9.36"/>
    <col collapsed="false" customWidth="true" hidden="false" outlineLevel="0" max="6" min="6" style="1" width="16.54"/>
    <col collapsed="false" customWidth="false" hidden="false" outlineLevel="0" max="16384" min="7" style="1" width="9.36"/>
  </cols>
  <sheetData>
    <row r="1" customFormat="false" ht="15" hidden="false" customHeight="true" outlineLevel="0" collapsed="false">
      <c r="A1" s="15" t="s">
        <v>490</v>
      </c>
      <c r="B1" s="15" t="s">
        <v>1011</v>
      </c>
      <c r="C1" s="15" t="s">
        <v>1436</v>
      </c>
      <c r="D1" s="15" t="s">
        <v>1277</v>
      </c>
    </row>
  </sheetData>
  <dataValidations count="1">
    <dataValidation allowBlank="true" error="Whole Numbers only" errorStyle="stop" operator="greaterThanOrEqual" showDropDown="false" showErrorMessage="true" showInputMessage="true" sqref="D1:D1001" type="whole">
      <formula1>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9.36328125" defaultRowHeight="15" customHeight="true" zeroHeight="false" outlineLevelRow="0" outlineLevelCol="0"/>
  <cols>
    <col collapsed="false" customWidth="true" hidden="false" outlineLevel="0" max="1" min="1" style="1" width="5.45"/>
    <col collapsed="false" customWidth="true" hidden="false" outlineLevel="0" max="2" min="2" style="1" width="24.54"/>
    <col collapsed="false" customWidth="true" hidden="false" outlineLevel="0" max="3" min="3" style="1" width="6.45"/>
    <col collapsed="false" customWidth="true" hidden="false" outlineLevel="0" max="4" min="4" style="1" width="14.54"/>
    <col collapsed="false" customWidth="true" hidden="false" outlineLevel="0" max="5" min="5" style="1" width="19"/>
    <col collapsed="false" customWidth="true" hidden="false" outlineLevel="0" max="6" min="6" style="1" width="18.45"/>
    <col collapsed="false" customWidth="true" hidden="false" outlineLevel="0" max="7" min="7" style="1" width="20"/>
    <col collapsed="false" customWidth="true" hidden="false" outlineLevel="0" max="8" min="8" style="1" width="17.45"/>
    <col collapsed="false" customWidth="true" hidden="false" outlineLevel="0" max="9" min="9" style="1" width="34.54"/>
    <col collapsed="false" customWidth="true" hidden="false" outlineLevel="0" max="10" min="10" style="1" width="11"/>
    <col collapsed="false" customWidth="true" hidden="false" outlineLevel="0" max="11" min="11" style="1" width="16.54"/>
    <col collapsed="false" customWidth="true" hidden="false" outlineLevel="0" max="12" min="12" style="1" width="20.45"/>
    <col collapsed="false" customWidth="true" hidden="false" outlineLevel="0" max="13" min="13" style="1" width="17.63"/>
    <col collapsed="false" customWidth="true" hidden="false" outlineLevel="0" max="14" min="14" style="1" width="22.45"/>
    <col collapsed="false" customWidth="true" hidden="false" outlineLevel="0" max="15" min="15" style="1" width="16.54"/>
    <col collapsed="false" customWidth="false" hidden="false" outlineLevel="0" max="16384" min="16" style="1" width="9.36"/>
  </cols>
  <sheetData>
    <row r="1" customFormat="false" ht="15" hidden="false" customHeight="true" outlineLevel="0" collapsed="false">
      <c r="A1" s="15" t="s">
        <v>490</v>
      </c>
      <c r="B1" s="15" t="s">
        <v>1437</v>
      </c>
      <c r="C1" s="15" t="s">
        <v>1277</v>
      </c>
      <c r="D1" s="15" t="s">
        <v>1438</v>
      </c>
      <c r="E1" s="15" t="s">
        <v>1439</v>
      </c>
      <c r="F1" s="15" t="s">
        <v>1440</v>
      </c>
      <c r="G1" s="15" t="s">
        <v>1441</v>
      </c>
      <c r="H1" s="15" t="s">
        <v>1442</v>
      </c>
      <c r="I1" s="15" t="s">
        <v>1443</v>
      </c>
      <c r="J1" s="15" t="s">
        <v>1444</v>
      </c>
      <c r="K1" s="15" t="s">
        <v>1445</v>
      </c>
      <c r="L1" s="34" t="s">
        <v>1446</v>
      </c>
      <c r="M1" s="15" t="s">
        <v>1447</v>
      </c>
      <c r="N1" s="15" t="s">
        <v>1448</v>
      </c>
    </row>
  </sheetData>
  <dataValidations count="1">
    <dataValidation allowBlank="true" errorStyle="stop" operator="between" showDropDown="false" showErrorMessage="true" showInputMessage="true" sqref="F2:N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13.54296875" defaultRowHeight="15" customHeight="true" zeroHeight="false" outlineLevelRow="0" outlineLevelCol="0"/>
  <cols>
    <col collapsed="false" customWidth="true" hidden="false" outlineLevel="0" max="1" min="1" style="1" width="5.36"/>
    <col collapsed="false" customWidth="true" hidden="false" outlineLevel="0" max="2" min="2" style="1" width="6.45"/>
    <col collapsed="false" customWidth="true" hidden="false" outlineLevel="0" max="3" min="3" style="1" width="11.36"/>
    <col collapsed="false" customWidth="true" hidden="false" outlineLevel="0" max="4" min="4" style="1" width="5.45"/>
    <col collapsed="false" customWidth="true" hidden="false" outlineLevel="0" max="5" min="5" style="1" width="10.54"/>
    <col collapsed="false" customWidth="true" hidden="false" outlineLevel="0" max="6" min="6" style="1" width="17.45"/>
    <col collapsed="false" customWidth="true" hidden="false" outlineLevel="0" max="7" min="7" style="1" width="5.45"/>
    <col collapsed="false" customWidth="true" hidden="false" outlineLevel="0" max="8" min="8" style="1" width="8.63"/>
    <col collapsed="false" customWidth="true" hidden="false" outlineLevel="0" max="9" min="9" style="1" width="12.36"/>
    <col collapsed="false" customWidth="true" hidden="false" outlineLevel="0" max="10" min="10" style="1" width="11"/>
    <col collapsed="false" customWidth="true" hidden="false" outlineLevel="0" max="11" min="11" style="1" width="14.54"/>
    <col collapsed="false" customWidth="true" hidden="false" outlineLevel="0" max="12" min="12" style="1" width="23"/>
    <col collapsed="false" customWidth="true" hidden="false" outlineLevel="0" max="13" min="13" style="1" width="30.45"/>
    <col collapsed="false" customWidth="true" hidden="false" outlineLevel="0" max="14" min="14" style="1" width="8.63"/>
    <col collapsed="false" customWidth="false" hidden="false" outlineLevel="0" max="16384" min="15" style="1" width="13.54"/>
  </cols>
  <sheetData>
    <row r="1" customFormat="false" ht="15" hidden="false" customHeight="true" outlineLevel="0" collapsed="false">
      <c r="A1" s="15" t="s">
        <v>981</v>
      </c>
      <c r="B1" s="15" t="s">
        <v>1011</v>
      </c>
      <c r="C1" s="15" t="s">
        <v>2</v>
      </c>
      <c r="D1" s="15" t="s">
        <v>489</v>
      </c>
      <c r="E1" s="15" t="s">
        <v>1251</v>
      </c>
      <c r="F1" s="15" t="s">
        <v>1449</v>
      </c>
      <c r="G1" s="15" t="s">
        <v>490</v>
      </c>
      <c r="H1" s="15" t="s">
        <v>1362</v>
      </c>
      <c r="I1" s="15" t="s">
        <v>1450</v>
      </c>
      <c r="J1" s="15" t="s">
        <v>1418</v>
      </c>
      <c r="K1" s="15" t="s">
        <v>1451</v>
      </c>
      <c r="L1" s="15" t="s">
        <v>1452</v>
      </c>
      <c r="M1" s="15" t="s">
        <v>1453</v>
      </c>
      <c r="N1" s="36" t="s">
        <v>1454</v>
      </c>
    </row>
  </sheetData>
  <dataValidations count="3">
    <dataValidation allowBlank="true" errorStyle="stop" operator="greaterThanOrEqual" showDropDown="false" showErrorMessage="true" showInputMessage="true" sqref="I1" type="none">
      <formula1>0</formula1>
      <formula2>0</formula2>
    </dataValidation>
    <dataValidation allowBlank="true" error="Numbers Only. &gt;=0" errorStyle="stop" operator="greaterThanOrEqual" showDropDown="false" showErrorMessage="true" showInputMessage="true" sqref="I2:I1001" type="decimal">
      <formula1>0</formula1>
      <formula2>0</formula2>
    </dataValidation>
    <dataValidation allowBlank="true" errorStyle="stop" operator="between" showDropDown="false" showErrorMessage="true" showInputMessage="true" sqref="K2:M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13.54296875" defaultRowHeight="15" customHeight="true" zeroHeight="false" outlineLevelRow="0" outlineLevelCol="0"/>
  <cols>
    <col collapsed="false" customWidth="true" hidden="false" outlineLevel="0" max="1" min="1" style="1" width="12.36"/>
    <col collapsed="false" customWidth="true" hidden="false" outlineLevel="0" max="2" min="2" style="1" width="11.54"/>
    <col collapsed="false" customWidth="true" hidden="false" outlineLevel="0" max="3" min="3" style="1" width="13.36"/>
    <col collapsed="false" customWidth="true" hidden="false" outlineLevel="0" max="4" min="4" style="1" width="10.36"/>
    <col collapsed="false" customWidth="true" hidden="false" outlineLevel="0" max="5" min="5" style="1" width="7.54"/>
    <col collapsed="false" customWidth="false" hidden="false" outlineLevel="0" max="16384" min="6" style="1" width="13.54"/>
  </cols>
  <sheetData>
    <row r="1" customFormat="false" ht="15" hidden="false" customHeight="true" outlineLevel="0" collapsed="false">
      <c r="A1" s="15" t="s">
        <v>1217</v>
      </c>
      <c r="B1" s="15" t="s">
        <v>1219</v>
      </c>
      <c r="C1" s="15" t="s">
        <v>426</v>
      </c>
      <c r="D1" s="15" t="s">
        <v>1455</v>
      </c>
      <c r="E1" s="15" t="s">
        <v>1456</v>
      </c>
    </row>
  </sheetData>
  <dataValidations count="1">
    <dataValidation allowBlank="true" errorStyle="stop" operator="between" showDropDown="false" showErrorMessage="true" showInputMessage="true" sqref="C2:C1001" type="list">
      <formula1>Enums!$C$99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8.6796875" defaultRowHeight="15" customHeight="true" zeroHeight="false" outlineLevelRow="0" outlineLevelCol="0"/>
  <cols>
    <col collapsed="false" customWidth="true" hidden="false" outlineLevel="0" max="1" min="1" style="0" width="9.63"/>
    <col collapsed="false" customWidth="true" hidden="false" outlineLevel="0" max="2" min="2" style="0" width="12.45"/>
    <col collapsed="false" customWidth="true" hidden="false" outlineLevel="0" max="3" min="3" style="0" width="16.54"/>
    <col collapsed="false" customWidth="true" hidden="false" outlineLevel="0" max="4" min="4" style="0" width="7.54"/>
    <col collapsed="false" customWidth="true" hidden="false" outlineLevel="0" max="5" min="5" style="0" width="7.45"/>
    <col collapsed="false" customWidth="true" hidden="false" outlineLevel="0" max="6" min="6" style="0" width="10.63"/>
    <col collapsed="false" customWidth="true" hidden="false" outlineLevel="0" max="7" min="7" style="0" width="14.63"/>
    <col collapsed="false" customWidth="true" hidden="false" outlineLevel="0" max="8" min="8" style="0" width="9"/>
    <col collapsed="false" customWidth="true" hidden="false" outlineLevel="0" max="9" min="9" style="0" width="11"/>
    <col collapsed="false" customWidth="true" hidden="false" outlineLevel="0" max="10" min="10" style="0" width="21.45"/>
    <col collapsed="false" customWidth="true" hidden="false" outlineLevel="0" max="11" min="11" style="0" width="16.54"/>
    <col collapsed="false" customWidth="true" hidden="false" outlineLevel="0" max="12" min="12" style="0" width="21.45"/>
    <col collapsed="false" customWidth="true" hidden="false" outlineLevel="0" max="13" min="13" style="0" width="23.63"/>
    <col collapsed="false" customWidth="true" hidden="false" outlineLevel="0" max="14" min="14" style="0" width="13.54"/>
  </cols>
  <sheetData>
    <row r="1" customFormat="false" ht="15" hidden="false" customHeight="true" outlineLevel="0" collapsed="false">
      <c r="A1" s="15" t="s">
        <v>868</v>
      </c>
      <c r="B1" s="15" t="s">
        <v>1330</v>
      </c>
      <c r="C1" s="15" t="s">
        <v>1457</v>
      </c>
      <c r="D1" s="15" t="s">
        <v>1456</v>
      </c>
      <c r="E1" s="15" t="s">
        <v>1458</v>
      </c>
      <c r="F1" s="15" t="s">
        <v>1311</v>
      </c>
      <c r="G1" s="15" t="s">
        <v>1459</v>
      </c>
      <c r="H1" s="15" t="s">
        <v>1460</v>
      </c>
      <c r="K1" s="46" t="s">
        <v>1332</v>
      </c>
    </row>
  </sheetData>
  <dataValidations count="1">
    <dataValidation allowBlank="true" errorStyle="stop" operator="between" showDropDown="false" showErrorMessage="true" showInputMessage="true" sqref="I3:J3" type="list">
      <formula1>"Certified,NotCertified,Expired"</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9.36328125" defaultRowHeight="15" customHeight="true" zeroHeight="false" outlineLevelRow="0" outlineLevelCol="0"/>
  <cols>
    <col collapsed="false" customWidth="true" hidden="false" outlineLevel="0" max="1" min="1" style="1" width="13.63"/>
    <col collapsed="false" customWidth="true" hidden="false" outlineLevel="0" max="2" min="2" style="1" width="12"/>
    <col collapsed="false" customWidth="true" hidden="false" outlineLevel="0" max="3" min="3" style="1" width="22.36"/>
    <col collapsed="false" customWidth="true" hidden="false" outlineLevel="0" max="4" min="4" style="1" width="17.45"/>
    <col collapsed="false" customWidth="true" hidden="false" outlineLevel="0" max="5" min="5" style="1" width="16.45"/>
    <col collapsed="false" customWidth="true" hidden="false" outlineLevel="0" max="6" min="6" style="1" width="8.54"/>
    <col collapsed="false" customWidth="false" hidden="false" outlineLevel="0" max="7" min="7" style="1" width="9.36"/>
    <col collapsed="false" customWidth="true" hidden="false" outlineLevel="0" max="8" min="8" style="1" width="11.54"/>
    <col collapsed="false" customWidth="true" hidden="false" outlineLevel="0" max="9" min="9" style="1" width="19"/>
    <col collapsed="false" customWidth="true" hidden="false" outlineLevel="0" max="10" min="10" style="1" width="22.54"/>
    <col collapsed="false" customWidth="true" hidden="false" outlineLevel="0" max="11" min="11" style="1" width="23.63"/>
    <col collapsed="false" customWidth="true" hidden="false" outlineLevel="0" max="12" min="12" style="1" width="13.54"/>
    <col collapsed="false" customWidth="false" hidden="false" outlineLevel="0" max="16384" min="13" style="1" width="9.36"/>
  </cols>
  <sheetData>
    <row r="1" customFormat="false" ht="15" hidden="false" customHeight="true" outlineLevel="0" collapsed="false">
      <c r="A1" s="15" t="s">
        <v>868</v>
      </c>
      <c r="B1" s="15" t="s">
        <v>1329</v>
      </c>
      <c r="C1" s="15" t="s">
        <v>1461</v>
      </c>
      <c r="D1" s="15" t="s">
        <v>1462</v>
      </c>
      <c r="E1" s="15" t="s">
        <v>1463</v>
      </c>
      <c r="F1" s="15" t="s">
        <v>1464</v>
      </c>
      <c r="G1" s="15" t="s">
        <v>1465</v>
      </c>
      <c r="H1" s="15" t="s">
        <v>1456</v>
      </c>
      <c r="I1" s="15" t="s">
        <v>1466</v>
      </c>
      <c r="J1" s="15" t="s">
        <v>1467</v>
      </c>
    </row>
  </sheetData>
  <dataValidations count="1">
    <dataValidation allowBlank="true" errorStyle="stop" operator="between" showDropDown="false" showErrorMessage="true" showInputMessage="true" sqref="D2:D1001 F2:G1001 J2:J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47.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5.45"/>
    <col collapsed="false" customWidth="true" hidden="false" outlineLevel="0" max="4" min="4" style="1" width="10.54"/>
    <col collapsed="false" customWidth="true" hidden="false" outlineLevel="0" max="5" min="5" style="1" width="20.45"/>
    <col collapsed="false" customWidth="true" hidden="false" outlineLevel="0" max="6" min="6" style="1" width="32.63"/>
    <col collapsed="false" customWidth="true" hidden="false" outlineLevel="0" max="7" min="7" style="1" width="30.36"/>
    <col collapsed="false" customWidth="false" hidden="false" outlineLevel="0" max="16384" min="8" style="1" width="47.63"/>
  </cols>
  <sheetData>
    <row r="1" customFormat="false" ht="15" hidden="false" customHeight="true" outlineLevel="0" collapsed="false">
      <c r="A1" s="15" t="s">
        <v>1011</v>
      </c>
      <c r="B1" s="15" t="s">
        <v>2</v>
      </c>
      <c r="C1" s="15" t="s">
        <v>489</v>
      </c>
      <c r="D1" s="15" t="s">
        <v>1251</v>
      </c>
      <c r="E1" s="15" t="s">
        <v>395</v>
      </c>
      <c r="F1" s="15" t="s">
        <v>1468</v>
      </c>
      <c r="G1" s="15" t="s">
        <v>1469</v>
      </c>
    </row>
  </sheetData>
  <dataValidations count="4">
    <dataValidation allowBlank="true" error="Numbers Only" errorStyle="stop" operator="greaterThan" showDropDown="false" showErrorMessage="true" showInputMessage="true" sqref="G2:G1001" type="decimal">
      <formula1>0</formula1>
      <formula2>0</formula2>
    </dataValidation>
    <dataValidation allowBlank="true" error="Whole Numbers Only &gt;=0" errorStyle="stop" operator="greaterThanOrEqual" showDropDown="false" showErrorMessage="true" showInputMessage="true" sqref="F2:F1001" type="whole">
      <formula1>0</formula1>
      <formula2>0</formula2>
    </dataValidation>
    <dataValidation allowBlank="true" errorStyle="stop" operator="greaterThanOrEqual" showDropDown="false" showErrorMessage="true" showInputMessage="true" sqref="F1" type="none">
      <formula1>0</formula1>
      <formula2>0</formula2>
    </dataValidation>
    <dataValidation allowBlank="true" errorStyle="stop" operator="between" showDropDown="false" showErrorMessage="true" showInputMessage="true" sqref="E2:E1001" type="list">
      <formula1>Enums!$G$86:$G$88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P36" activeCellId="0" sqref="P36"/>
    </sheetView>
  </sheetViews>
  <sheetFormatPr defaultColWidth="9.36328125" defaultRowHeight="15" customHeight="true" zeroHeight="false" outlineLevelRow="0" outlineLevelCol="0"/>
  <cols>
    <col collapsed="false" customWidth="true" hidden="false" outlineLevel="0" max="1" min="1" style="1" width="13.36"/>
    <col collapsed="false" customWidth="true" hidden="false" outlineLevel="0" max="2" min="2" style="1" width="6.45"/>
    <col collapsed="false" customWidth="true" hidden="false" outlineLevel="0" max="3" min="3" style="1" width="12.45"/>
    <col collapsed="false" customWidth="true" hidden="false" outlineLevel="0" max="4" min="4" style="1" width="11.36"/>
    <col collapsed="false" customWidth="true" hidden="false" outlineLevel="0" max="5" min="5" style="1" width="31.63"/>
    <col collapsed="false" customWidth="false" hidden="false" outlineLevel="0" max="16384" min="6" style="1" width="9.36"/>
  </cols>
  <sheetData>
    <row r="1" customFormat="false" ht="15" hidden="false" customHeight="true" outlineLevel="0" collapsed="false">
      <c r="A1" s="15" t="s">
        <v>1470</v>
      </c>
      <c r="B1" s="15" t="s">
        <v>1277</v>
      </c>
      <c r="C1" s="15" t="s">
        <v>1011</v>
      </c>
      <c r="D1" s="15" t="s">
        <v>2</v>
      </c>
      <c r="E1" s="15" t="s">
        <v>1108</v>
      </c>
    </row>
  </sheetData>
  <dataValidations count="3">
    <dataValidation allowBlank="true" error="Whole Numbers Only. &gt;=1" errorStyle="stop" operator="greaterThan" showDropDown="false" showErrorMessage="true" showInputMessage="true" sqref="B2:B1001" type="whole">
      <formula1>0</formula1>
      <formula2>0</formula2>
    </dataValidation>
    <dataValidation allowBlank="true" errorStyle="stop" operator="greaterThan" showDropDown="false" showErrorMessage="true" showInputMessage="true" sqref="B1" type="none">
      <formula1>0</formula1>
      <formula2>0</formula2>
    </dataValidation>
    <dataValidation allowBlank="true" errorStyle="stop" operator="between" showDropDown="false" showErrorMessage="true" showInputMessage="true" sqref="E2:E1001" type="list">
      <formula1>Enums!$G$91:$G$98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6" activeCellId="0" sqref="P36"/>
    </sheetView>
  </sheetViews>
  <sheetFormatPr defaultColWidth="31.5429687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8"/>
    <col collapsed="false" customWidth="true" hidden="false" outlineLevel="0" max="4" min="4" style="1" width="10.54"/>
    <col collapsed="false" customWidth="true" hidden="false" outlineLevel="0" max="5" min="5" style="1" width="20.45"/>
    <col collapsed="false" customWidth="true" hidden="false" outlineLevel="0" max="6" min="6" style="1" width="24.54"/>
    <col collapsed="false" customWidth="true" hidden="false" outlineLevel="0" max="7" min="7" style="1" width="5"/>
    <col collapsed="false" customWidth="true" hidden="false" outlineLevel="0" max="8" min="8" style="1" width="22"/>
    <col collapsed="false" customWidth="true" hidden="false" outlineLevel="0" max="9" min="9" style="1" width="21.36"/>
    <col collapsed="false" customWidth="true" hidden="false" outlineLevel="0" max="10" min="10" style="1" width="33"/>
    <col collapsed="false" customWidth="true" hidden="false" outlineLevel="0" max="11" min="11" style="1" width="24.45"/>
    <col collapsed="false" customWidth="true" hidden="false" outlineLevel="0" max="12" min="12" style="1" width="24.54"/>
    <col collapsed="false" customWidth="false" hidden="false" outlineLevel="0" max="16384" min="13" style="1" width="31.54"/>
  </cols>
  <sheetData>
    <row r="1" customFormat="false" ht="15" hidden="false" customHeight="true" outlineLevel="0" collapsed="false">
      <c r="A1" s="15" t="s">
        <v>1011</v>
      </c>
      <c r="B1" s="15" t="s">
        <v>2</v>
      </c>
      <c r="C1" s="15" t="s">
        <v>489</v>
      </c>
      <c r="D1" s="15" t="s">
        <v>1251</v>
      </c>
      <c r="E1" s="15" t="s">
        <v>1471</v>
      </c>
      <c r="F1" s="15" t="s">
        <v>1472</v>
      </c>
      <c r="G1" s="15" t="s">
        <v>543</v>
      </c>
      <c r="H1" s="15" t="s">
        <v>1473</v>
      </c>
      <c r="I1" s="15" t="s">
        <v>1474</v>
      </c>
      <c r="J1" s="15" t="s">
        <v>1475</v>
      </c>
      <c r="K1" s="15" t="s">
        <v>1476</v>
      </c>
      <c r="L1" s="15" t="s">
        <v>1477</v>
      </c>
      <c r="M1" s="2"/>
    </row>
  </sheetData>
  <dataValidations count="6">
    <dataValidation allowBlank="true" error="Whole Numbers Only" errorStyle="stop" operator="greaterThan" showDropDown="false" showErrorMessage="true" showInputMessage="true" sqref="I1" type="none">
      <formula1>0</formula1>
      <formula2>0</formula2>
    </dataValidation>
    <dataValidation allowBlank="true" error="Whole Numbers Only" errorStyle="stop" operator="greaterThan" showDropDown="false" showErrorMessage="true" showInputMessage="true" sqref="I2:I1001" type="whole">
      <formula1>0</formula1>
      <formula2>0</formula2>
    </dataValidation>
    <dataValidation allowBlank="true" errorStyle="stop" operator="between" showDropDown="false" showErrorMessage="true" showInputMessage="true" sqref="E2:E1001" type="list">
      <formula1>Enums!$I$88:$I$90</formula1>
      <formula2>0</formula2>
    </dataValidation>
    <dataValidation allowBlank="true" errorStyle="stop" operator="between" showDropDown="false" showErrorMessage="true" showInputMessage="true" sqref="K2:K1001" type="list">
      <formula1>Enums!$I$93:$I$97</formula1>
      <formula2>0</formula2>
    </dataValidation>
    <dataValidation allowBlank="true" errorStyle="stop" operator="between" showDropDown="false" showErrorMessage="true" showInputMessage="true" sqref="L2:L1001" type="list">
      <formula1>Enums!$K$34:$K$38</formula1>
      <formula2>0</formula2>
    </dataValidation>
    <dataValidation allowBlank="true" errorStyle="stop" operator="between" showDropDown="false" showErrorMessage="true" showInputMessage="true" sqref="J1:J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P36" activeCellId="0" sqref="P36"/>
    </sheetView>
  </sheetViews>
  <sheetFormatPr defaultColWidth="13.5429687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10.54"/>
    <col collapsed="false" customWidth="true" hidden="false" outlineLevel="0" max="4" min="4" style="1" width="11.54"/>
    <col collapsed="false" customWidth="true" hidden="false" outlineLevel="0" max="5" min="5" style="1" width="11"/>
    <col collapsed="false" customWidth="true" hidden="false" outlineLevel="0" max="6" min="6" style="1" width="9.63"/>
    <col collapsed="false" customWidth="true" hidden="false" outlineLevel="0" max="7" min="7" style="1" width="14.54"/>
    <col collapsed="false" customWidth="true" hidden="false" outlineLevel="0" max="8" min="8" style="1" width="17.45"/>
    <col collapsed="false" customWidth="true" hidden="false" outlineLevel="0" max="10" min="9" style="1" width="17.54"/>
    <col collapsed="false" customWidth="true" hidden="false" outlineLevel="0" max="11" min="11" style="1" width="20.45"/>
    <col collapsed="false" customWidth="true" hidden="false" outlineLevel="0" max="12" min="12" style="1" width="20"/>
    <col collapsed="false" customWidth="true" hidden="false" outlineLevel="0" max="13" min="13" style="1" width="17.54"/>
    <col collapsed="false" customWidth="true" hidden="false" outlineLevel="0" max="14" min="14" style="1" width="16.45"/>
    <col collapsed="false" customWidth="true" hidden="false" outlineLevel="0" max="15" min="15" style="1" width="11.54"/>
    <col collapsed="false" customWidth="true" hidden="false" outlineLevel="0" max="16" min="16" style="1" width="13.36"/>
    <col collapsed="false" customWidth="true" hidden="false" outlineLevel="0" max="17" min="17" style="1" width="12.54"/>
    <col collapsed="false" customWidth="true" hidden="false" outlineLevel="0" max="18" min="18" style="1" width="20.36"/>
    <col collapsed="false" customWidth="true" hidden="false" outlineLevel="0" max="19" min="19" style="1" width="21.54"/>
    <col collapsed="false" customWidth="true" hidden="false" outlineLevel="0" max="20" min="20" style="1" width="18.54"/>
    <col collapsed="false" customWidth="true" hidden="false" outlineLevel="0" max="21" min="21" style="1" width="11.45"/>
    <col collapsed="false" customWidth="true" hidden="false" outlineLevel="0" max="22" min="22" style="1" width="8.54"/>
    <col collapsed="false" customWidth="false" hidden="false" outlineLevel="0" max="16384" min="23" style="1" width="13.54"/>
  </cols>
  <sheetData>
    <row r="1" s="30" customFormat="true" ht="15.75" hidden="false" customHeight="true" outlineLevel="0" collapsed="false">
      <c r="A1" s="15" t="s">
        <v>1011</v>
      </c>
      <c r="B1" s="15" t="s">
        <v>2</v>
      </c>
      <c r="C1" s="15" t="s">
        <v>1251</v>
      </c>
      <c r="D1" s="15" t="s">
        <v>1478</v>
      </c>
      <c r="E1" s="15" t="s">
        <v>1479</v>
      </c>
      <c r="F1" s="15" t="s">
        <v>1480</v>
      </c>
      <c r="G1" s="15" t="s">
        <v>1481</v>
      </c>
      <c r="H1" s="15" t="s">
        <v>1482</v>
      </c>
      <c r="I1" s="15" t="s">
        <v>1483</v>
      </c>
      <c r="J1" s="15" t="s">
        <v>1484</v>
      </c>
      <c r="K1" s="15" t="s">
        <v>1485</v>
      </c>
      <c r="L1" s="15" t="s">
        <v>1486</v>
      </c>
      <c r="M1" s="15" t="s">
        <v>1487</v>
      </c>
      <c r="N1" s="15" t="s">
        <v>1488</v>
      </c>
      <c r="O1" s="15" t="s">
        <v>1489</v>
      </c>
      <c r="P1" s="15" t="s">
        <v>1490</v>
      </c>
      <c r="Q1" s="15" t="s">
        <v>1491</v>
      </c>
      <c r="R1" s="15" t="s">
        <v>1492</v>
      </c>
      <c r="S1" s="15" t="s">
        <v>1493</v>
      </c>
      <c r="T1" s="15" t="s">
        <v>1494</v>
      </c>
      <c r="U1" s="15" t="s">
        <v>1495</v>
      </c>
      <c r="V1" s="15" t="s">
        <v>1496</v>
      </c>
    </row>
  </sheetData>
  <dataValidations count="1">
    <dataValidation allowBlank="true" errorStyle="stop" operator="between" showDropDown="false" showErrorMessage="true" showInputMessage="true" sqref="D2:G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C12" activePane="bottomRight" state="frozen"/>
      <selection pane="topLeft" activeCell="A1" activeCellId="0" sqref="A1"/>
      <selection pane="topRight" activeCell="C1" activeCellId="0" sqref="C1"/>
      <selection pane="bottomLeft" activeCell="A12" activeCellId="0" sqref="A12"/>
      <selection pane="bottomRight" activeCell="C12" activeCellId="0" sqref="C12"/>
    </sheetView>
  </sheetViews>
  <sheetFormatPr defaultColWidth="9.36328125" defaultRowHeight="15" customHeight="true" zeroHeight="false" outlineLevelRow="0" outlineLevelCol="0"/>
  <cols>
    <col collapsed="false" customWidth="true" hidden="false" outlineLevel="0" max="1" min="1" style="1" width="26"/>
    <col collapsed="false" customWidth="true" hidden="false" outlineLevel="0" max="2" min="2" style="1" width="30.54"/>
    <col collapsed="false" customWidth="true" hidden="false" outlineLevel="0" max="3" min="3" style="1" width="31.45"/>
    <col collapsed="false" customWidth="true" hidden="false" outlineLevel="0" max="4" min="4" style="1" width="21.63"/>
    <col collapsed="false" customWidth="false" hidden="false" outlineLevel="0" max="16384" min="5" style="1" width="9.36"/>
  </cols>
  <sheetData>
    <row r="1" s="35" customFormat="true" ht="15" hidden="false" customHeight="true" outlineLevel="0" collapsed="false">
      <c r="A1" s="15" t="s">
        <v>1458</v>
      </c>
      <c r="B1" s="15" t="s">
        <v>1273</v>
      </c>
      <c r="C1" s="15" t="s">
        <v>2</v>
      </c>
      <c r="D1" s="15" t="s">
        <v>691</v>
      </c>
    </row>
  </sheetData>
  <dataValidations count="1">
    <dataValidation allowBlank="true" errorStyle="stop" operator="between" showDropDown="false" showErrorMessage="true" showInputMessage="true" sqref="D3:D1001" type="list">
      <formula1>Enums!$AK$55:$AK$57</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K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40" activeCellId="0" sqref="H40"/>
    </sheetView>
  </sheetViews>
  <sheetFormatPr defaultColWidth="9.36328125" defaultRowHeight="15" customHeight="true" zeroHeight="false" outlineLevelRow="0" outlineLevelCol="0"/>
  <cols>
    <col collapsed="false" customWidth="true" hidden="false" outlineLevel="0" max="1" min="1" style="39" width="8.45"/>
    <col collapsed="false" customWidth="true" hidden="false" outlineLevel="0" max="2" min="2" style="39" width="5.54"/>
    <col collapsed="false" customWidth="true" hidden="false" outlineLevel="0" max="3" min="3" style="39" width="15.54"/>
    <col collapsed="false" customWidth="true" hidden="false" outlineLevel="0" max="4" min="4" style="39" width="11.36"/>
    <col collapsed="false" customWidth="true" hidden="false" outlineLevel="0" max="5" min="5" style="39" width="18.36"/>
    <col collapsed="false" customWidth="true" hidden="false" outlineLevel="0" max="6" min="6" style="39" width="16.45"/>
    <col collapsed="false" customWidth="true" hidden="false" outlineLevel="0" max="7" min="7" style="39" width="9.54"/>
    <col collapsed="false" customWidth="false" hidden="false" outlineLevel="0" max="16384" min="8" style="39" width="9.36"/>
  </cols>
  <sheetData>
    <row r="1" s="45" customFormat="true" ht="15" hidden="false" customHeight="true" outlineLevel="0" collapsed="false">
      <c r="A1" s="15" t="s">
        <v>1435</v>
      </c>
      <c r="B1" s="15" t="s">
        <v>1363</v>
      </c>
      <c r="C1" s="15" t="s">
        <v>1497</v>
      </c>
      <c r="D1" s="15" t="s">
        <v>616</v>
      </c>
      <c r="E1" s="15" t="s">
        <v>1498</v>
      </c>
      <c r="F1" s="15" t="s">
        <v>1499</v>
      </c>
      <c r="G1" s="15" t="s">
        <v>1500</v>
      </c>
      <c r="K1" s="52" t="s">
        <v>1501</v>
      </c>
    </row>
  </sheetData>
  <dataValidations count="1">
    <dataValidation allowBlank="true" errorStyle="stop" operator="between" showDropDown="false" showErrorMessage="true" showInputMessage="true" sqref="G2:G1001" type="list">
      <formula1>Enums!$AI$57:$AI$58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40" activeCellId="0" sqref="H40"/>
    </sheetView>
  </sheetViews>
  <sheetFormatPr defaultColWidth="9.36328125" defaultRowHeight="15" customHeight="true" zeroHeight="false" outlineLevelRow="0" outlineLevelCol="0"/>
  <cols>
    <col collapsed="false" customWidth="true" hidden="false" outlineLevel="0" max="1" min="1" style="39" width="15.36"/>
    <col collapsed="false" customWidth="true" hidden="false" outlineLevel="0" max="2" min="2" style="39" width="11.63"/>
    <col collapsed="false" customWidth="true" hidden="false" outlineLevel="0" max="3" min="3" style="39" width="9.45"/>
    <col collapsed="false" customWidth="true" hidden="false" outlineLevel="0" max="4" min="4" style="39" width="5.54"/>
    <col collapsed="false" customWidth="false" hidden="false" outlineLevel="0" max="16384" min="5" style="39" width="9.36"/>
  </cols>
  <sheetData>
    <row r="1" s="45" customFormat="true" ht="15" hidden="false" customHeight="true" outlineLevel="0" collapsed="false">
      <c r="A1" s="15" t="s">
        <v>1502</v>
      </c>
      <c r="B1" s="15" t="s">
        <v>1503</v>
      </c>
      <c r="C1" s="15" t="s">
        <v>1504</v>
      </c>
      <c r="D1" s="15" t="s">
        <v>1363</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40" activeCellId="0" sqref="H40"/>
    </sheetView>
  </sheetViews>
  <sheetFormatPr defaultColWidth="9.36328125" defaultRowHeight="15" customHeight="true" zeroHeight="false" outlineLevelRow="0" outlineLevelCol="0"/>
  <cols>
    <col collapsed="false" customWidth="true" hidden="false" outlineLevel="0" max="1" min="1" style="39" width="17.63"/>
    <col collapsed="false" customWidth="true" hidden="false" outlineLevel="0" max="2" min="2" style="39" width="11.63"/>
    <col collapsed="false" customWidth="false" hidden="false" outlineLevel="0" max="16384" min="3" style="39" width="9.36"/>
  </cols>
  <sheetData>
    <row r="1" s="45" customFormat="true" ht="15" hidden="false" customHeight="true" outlineLevel="0" collapsed="false">
      <c r="A1" s="34" t="s">
        <v>1505</v>
      </c>
      <c r="B1" s="15" t="s">
        <v>1280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CC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9" activePane="bottomRight" state="frozen"/>
      <selection pane="topLeft" activeCell="A1" activeCellId="0" sqref="A1"/>
      <selection pane="topRight" activeCell="B1" activeCellId="0" sqref="B1"/>
      <selection pane="bottomLeft" activeCell="A29" activeCellId="0" sqref="A29"/>
      <selection pane="bottomRight" activeCell="AL40" activeCellId="0" sqref="AL40"/>
    </sheetView>
  </sheetViews>
  <sheetFormatPr defaultColWidth="31.54296875" defaultRowHeight="15" customHeight="true" zeroHeight="false" outlineLevelRow="0" outlineLevelCol="0"/>
  <cols>
    <col collapsed="false" customWidth="true" hidden="false" outlineLevel="0" max="1" min="1" style="53" width="44"/>
    <col collapsed="false" customWidth="true" hidden="false" outlineLevel="0" max="2" min="2" style="53" width="60.54"/>
    <col collapsed="false" customWidth="true" hidden="true" outlineLevel="0" max="3" min="3" style="53" width="8.63"/>
    <col collapsed="false" customWidth="true" hidden="true" outlineLevel="0" max="4" min="4" style="53" width="10.63"/>
    <col collapsed="false" customWidth="true" hidden="true" outlineLevel="0" max="5" min="5" style="53" width="10.54"/>
    <col collapsed="false" customWidth="true" hidden="true" outlineLevel="0" max="6" min="6" style="53" width="14.63"/>
    <col collapsed="false" customWidth="true" hidden="true" outlineLevel="0" max="7" min="7" style="53" width="12.54"/>
    <col collapsed="false" customWidth="true" hidden="true" outlineLevel="0" max="8" min="8" style="53" width="20.45"/>
    <col collapsed="false" customWidth="true" hidden="true" outlineLevel="0" max="9" min="9" style="53" width="11.18"/>
    <col collapsed="false" customWidth="true" hidden="true" outlineLevel="0" max="10" min="10" style="53" width="11"/>
    <col collapsed="false" customWidth="true" hidden="true" outlineLevel="0" max="11" min="11" style="53" width="13.45"/>
    <col collapsed="false" customWidth="true" hidden="true" outlineLevel="0" max="12" min="12" style="53" width="13.54"/>
    <col collapsed="false" customWidth="true" hidden="true" outlineLevel="0" max="13" min="13" style="53" width="13.36"/>
    <col collapsed="false" customWidth="true" hidden="true" outlineLevel="0" max="14" min="14" style="53" width="22.63"/>
    <col collapsed="false" customWidth="true" hidden="true" outlineLevel="0" max="15" min="15" style="53" width="24.36"/>
    <col collapsed="false" customWidth="true" hidden="true" outlineLevel="0" max="16" min="16" style="53" width="20.36"/>
    <col collapsed="false" customWidth="true" hidden="true" outlineLevel="0" max="17" min="17" style="53" width="16.36"/>
    <col collapsed="false" customWidth="true" hidden="true" outlineLevel="0" max="18" min="18" style="53" width="8.54"/>
    <col collapsed="false" customWidth="true" hidden="true" outlineLevel="0" max="20" min="19" style="53" width="10.63"/>
    <col collapsed="false" customWidth="true" hidden="true" outlineLevel="0" max="21" min="21" style="53" width="15.54"/>
    <col collapsed="false" customWidth="true" hidden="true" outlineLevel="0" max="22" min="22" style="53" width="5.45"/>
    <col collapsed="false" customWidth="true" hidden="true" outlineLevel="0" max="23" min="23" style="53" width="8.45"/>
    <col collapsed="false" customWidth="true" hidden="true" outlineLevel="0" max="24" min="24" style="53" width="27.45"/>
    <col collapsed="false" customWidth="true" hidden="true" outlineLevel="0" max="25" min="25" style="53" width="18.54"/>
    <col collapsed="false" customWidth="true" hidden="true" outlineLevel="0" max="26" min="26" style="53" width="24.36"/>
    <col collapsed="false" customWidth="true" hidden="true" outlineLevel="0" max="27" min="27" style="53" width="31.45"/>
    <col collapsed="false" customWidth="true" hidden="true" outlineLevel="0" max="28" min="28" style="53" width="21.63"/>
    <col collapsed="false" customWidth="true" hidden="true" outlineLevel="0" max="29" min="29" style="53" width="27.54"/>
    <col collapsed="false" customWidth="true" hidden="true" outlineLevel="0" max="30" min="30" style="53" width="33.36"/>
    <col collapsed="false" customWidth="true" hidden="true" outlineLevel="0" max="31" min="31" style="53" width="17.63"/>
    <col collapsed="false" customWidth="true" hidden="true" outlineLevel="0" max="32" min="32" style="53" width="18.54"/>
    <col collapsed="false" customWidth="true" hidden="true" outlineLevel="0" max="33" min="33" style="53" width="28.63"/>
    <col collapsed="false" customWidth="true" hidden="true" outlineLevel="0" max="34" min="34" style="53" width="40.54"/>
    <col collapsed="false" customWidth="true" hidden="true" outlineLevel="0" max="35" min="35" style="53" width="31.45"/>
    <col collapsed="false" customWidth="true" hidden="true" outlineLevel="0" max="36" min="36" style="53" width="23.36"/>
    <col collapsed="false" customWidth="true" hidden="true" outlineLevel="0" max="37" min="37" style="53" width="23.54"/>
    <col collapsed="false" customWidth="true" hidden="false" outlineLevel="0" max="38" min="38" style="53" width="21"/>
    <col collapsed="false" customWidth="true" hidden="false" outlineLevel="0" max="39" min="39" style="53" width="23.36"/>
    <col collapsed="false" customWidth="true" hidden="false" outlineLevel="0" max="40" min="40" style="53" width="29.45"/>
    <col collapsed="false" customWidth="true" hidden="false" outlineLevel="0" max="41" min="41" style="37" width="23.36"/>
    <col collapsed="false" customWidth="true" hidden="false" outlineLevel="0" max="42" min="42" style="53" width="29.45"/>
    <col collapsed="false" customWidth="true" hidden="false" outlineLevel="0" max="43" min="43" style="37" width="23.36"/>
    <col collapsed="false" customWidth="true" hidden="false" outlineLevel="0" max="44" min="44" style="53" width="29.45"/>
    <col collapsed="false" customWidth="true" hidden="false" outlineLevel="0" max="45" min="45" style="37" width="23.36"/>
    <col collapsed="false" customWidth="true" hidden="false" outlineLevel="0" max="46" min="46" style="53" width="29.45"/>
    <col collapsed="false" customWidth="true" hidden="false" outlineLevel="0" max="47" min="47" style="37" width="9.54"/>
    <col collapsed="false" customWidth="true" hidden="false" outlineLevel="0" max="48" min="48" style="53" width="11.54"/>
    <col collapsed="false" customWidth="true" hidden="false" outlineLevel="0" max="49" min="49" style="53" width="12.36"/>
    <col collapsed="false" customWidth="true" hidden="false" outlineLevel="0" max="50" min="50" style="53" width="18.36"/>
    <col collapsed="false" customWidth="true" hidden="false" outlineLevel="0" max="51" min="51" style="53" width="20.36"/>
    <col collapsed="false" customWidth="true" hidden="false" outlineLevel="0" max="52" min="52" style="53" width="20.54"/>
    <col collapsed="false" customWidth="true" hidden="false" outlineLevel="0" max="53" min="53" style="53" width="17.45"/>
    <col collapsed="false" customWidth="true" hidden="false" outlineLevel="0" max="54" min="54" style="53" width="24.45"/>
    <col collapsed="false" customWidth="true" hidden="false" outlineLevel="0" max="55" min="55" style="53" width="8.54"/>
    <col collapsed="false" customWidth="true" hidden="false" outlineLevel="0" max="56" min="56" style="53" width="18.54"/>
    <col collapsed="false" customWidth="true" hidden="false" outlineLevel="0" max="57" min="57" style="53" width="30.54"/>
    <col collapsed="false" customWidth="true" hidden="false" outlineLevel="0" max="58" min="58" style="53" width="17.45"/>
    <col collapsed="false" customWidth="true" hidden="false" outlineLevel="0" max="59" min="59" style="53" width="17.54"/>
    <col collapsed="false" customWidth="true" hidden="false" outlineLevel="0" max="60" min="60" style="53" width="29.54"/>
    <col collapsed="false" customWidth="true" hidden="false" outlineLevel="0" max="61" min="61" style="53" width="10.54"/>
    <col collapsed="false" customWidth="true" hidden="false" outlineLevel="0" max="62" min="62" style="53" width="19.63"/>
    <col collapsed="false" customWidth="true" hidden="false" outlineLevel="0" max="63" min="63" style="53" width="28.45"/>
    <col collapsed="false" customWidth="true" hidden="false" outlineLevel="0" max="64" min="64" style="53" width="20.54"/>
    <col collapsed="false" customWidth="true" hidden="false" outlineLevel="0" max="65" min="65" style="53" width="19.45"/>
    <col collapsed="false" customWidth="true" hidden="false" outlineLevel="0" max="66" min="66" style="53" width="18.45"/>
    <col collapsed="false" customWidth="true" hidden="false" outlineLevel="0" max="67" min="67" style="53" width="24"/>
    <col collapsed="false" customWidth="true" hidden="false" outlineLevel="0" max="68" min="68" style="53" width="29.36"/>
    <col collapsed="false" customWidth="false" hidden="false" outlineLevel="0" max="69" min="69" style="53" width="31.54"/>
    <col collapsed="false" customWidth="true" hidden="false" outlineLevel="0" max="70" min="70" style="53" width="23.63"/>
    <col collapsed="false" customWidth="true" hidden="false" outlineLevel="0" max="71" min="71" style="53" width="17.45"/>
    <col collapsed="false" customWidth="true" hidden="false" outlineLevel="0" max="72" min="72" style="53" width="24.54"/>
    <col collapsed="false" customWidth="true" hidden="false" outlineLevel="0" max="73" min="73" style="53" width="28.45"/>
    <col collapsed="false" customWidth="true" hidden="false" outlineLevel="0" max="74" min="74" style="53" width="35.45"/>
    <col collapsed="false" customWidth="true" hidden="false" outlineLevel="0" max="75" min="75" style="53" width="35.63"/>
    <col collapsed="false" customWidth="true" hidden="false" outlineLevel="0" max="76" min="76" style="53" width="34.36"/>
    <col collapsed="false" customWidth="true" hidden="false" outlineLevel="0" max="77" min="77" style="53" width="27.45"/>
    <col collapsed="false" customWidth="true" hidden="false" outlineLevel="0" max="78" min="78" style="53" width="30.36"/>
    <col collapsed="false" customWidth="true" hidden="false" outlineLevel="0" max="79" min="79" style="53" width="48.54"/>
    <col collapsed="false" customWidth="true" hidden="false" outlineLevel="0" max="80" min="80" style="53" width="53.63"/>
    <col collapsed="false" customWidth="true" hidden="false" outlineLevel="0" max="81" min="81" style="53" width="11.63"/>
    <col collapsed="false" customWidth="false" hidden="false" outlineLevel="0" max="16384" min="82" style="53" width="31.54"/>
  </cols>
  <sheetData>
    <row r="1" s="59" customFormat="true" ht="14.25" hidden="false" customHeight="true" outlineLevel="0" collapsed="false">
      <c r="A1" s="54" t="s">
        <v>1011</v>
      </c>
      <c r="B1" s="54" t="s">
        <v>2</v>
      </c>
      <c r="C1" s="54" t="s">
        <v>489</v>
      </c>
      <c r="D1" s="54" t="s">
        <v>1506</v>
      </c>
      <c r="E1" s="54" t="s">
        <v>1251</v>
      </c>
      <c r="F1" s="54" t="s">
        <v>1428</v>
      </c>
      <c r="G1" s="54" t="s">
        <v>1410</v>
      </c>
      <c r="H1" s="54" t="s">
        <v>1507</v>
      </c>
      <c r="I1" s="54" t="s">
        <v>1508</v>
      </c>
      <c r="J1" s="54" t="s">
        <v>459</v>
      </c>
      <c r="K1" s="54" t="s">
        <v>1509</v>
      </c>
      <c r="L1" s="54" t="s">
        <v>1510</v>
      </c>
      <c r="M1" s="54" t="s">
        <v>1511</v>
      </c>
      <c r="N1" s="54" t="s">
        <v>1512</v>
      </c>
      <c r="O1" s="54" t="s">
        <v>1513</v>
      </c>
      <c r="P1" s="54" t="s">
        <v>1514</v>
      </c>
      <c r="Q1" s="54" t="s">
        <v>1515</v>
      </c>
      <c r="R1" s="54" t="s">
        <v>1516</v>
      </c>
      <c r="S1" s="54" t="s">
        <v>1517</v>
      </c>
      <c r="T1" s="54" t="s">
        <v>1518</v>
      </c>
      <c r="U1" s="54" t="s">
        <v>1519</v>
      </c>
      <c r="V1" s="54" t="s">
        <v>1520</v>
      </c>
      <c r="W1" s="54" t="s">
        <v>1521</v>
      </c>
      <c r="X1" s="54" t="s">
        <v>1522</v>
      </c>
      <c r="Y1" s="55" t="s">
        <v>1523</v>
      </c>
      <c r="Z1" s="54" t="s">
        <v>1524</v>
      </c>
      <c r="AA1" s="54" t="s">
        <v>1525</v>
      </c>
      <c r="AB1" s="54" t="s">
        <v>1526</v>
      </c>
      <c r="AC1" s="54" t="s">
        <v>1527</v>
      </c>
      <c r="AD1" s="54" t="s">
        <v>1528</v>
      </c>
      <c r="AE1" s="54" t="s">
        <v>1529</v>
      </c>
      <c r="AF1" s="54" t="s">
        <v>1530</v>
      </c>
      <c r="AG1" s="54" t="s">
        <v>1531</v>
      </c>
      <c r="AH1" s="54" t="s">
        <v>1532</v>
      </c>
      <c r="AI1" s="54" t="s">
        <v>1533</v>
      </c>
      <c r="AJ1" s="54" t="s">
        <v>1534</v>
      </c>
      <c r="AK1" s="54" t="s">
        <v>1535</v>
      </c>
      <c r="AL1" s="56" t="s">
        <v>1536</v>
      </c>
      <c r="AM1" s="54" t="s">
        <v>1537</v>
      </c>
      <c r="AN1" s="54" t="s">
        <v>1538</v>
      </c>
      <c r="AO1" s="54" t="s">
        <v>1539</v>
      </c>
      <c r="AP1" s="54" t="s">
        <v>1540</v>
      </c>
      <c r="AQ1" s="54" t="s">
        <v>1541</v>
      </c>
      <c r="AR1" s="54" t="s">
        <v>1542</v>
      </c>
      <c r="AS1" s="54" t="s">
        <v>1543</v>
      </c>
      <c r="AT1" s="54" t="s">
        <v>1544</v>
      </c>
      <c r="AU1" s="56" t="s">
        <v>1545</v>
      </c>
      <c r="AV1" s="56" t="s">
        <v>1546</v>
      </c>
      <c r="AW1" s="56" t="s">
        <v>1450</v>
      </c>
      <c r="AX1" s="56" t="s">
        <v>1547</v>
      </c>
      <c r="AY1" s="56" t="s">
        <v>1548</v>
      </c>
      <c r="AZ1" s="56" t="s">
        <v>1549</v>
      </c>
      <c r="BA1" s="56" t="s">
        <v>1550</v>
      </c>
      <c r="BB1" s="54" t="s">
        <v>1551</v>
      </c>
      <c r="BC1" s="55" t="s">
        <v>1552</v>
      </c>
      <c r="BD1" s="54" t="s">
        <v>1553</v>
      </c>
      <c r="BE1" s="54" t="s">
        <v>1554</v>
      </c>
      <c r="BF1" s="57" t="s">
        <v>1555</v>
      </c>
      <c r="BG1" s="56" t="s">
        <v>1556</v>
      </c>
      <c r="BH1" s="56" t="s">
        <v>1557</v>
      </c>
      <c r="BI1" s="56" t="s">
        <v>929</v>
      </c>
      <c r="BJ1" s="56" t="s">
        <v>1558</v>
      </c>
      <c r="BK1" s="56" t="s">
        <v>1559</v>
      </c>
      <c r="BL1" s="56" t="s">
        <v>366</v>
      </c>
      <c r="BM1" s="58" t="s">
        <v>569</v>
      </c>
      <c r="BN1" s="56" t="s">
        <v>921</v>
      </c>
      <c r="BO1" s="56" t="s">
        <v>1560</v>
      </c>
      <c r="BP1" s="56" t="s">
        <v>1561</v>
      </c>
      <c r="BQ1" s="58" t="s">
        <v>623</v>
      </c>
      <c r="BR1" s="58" t="s">
        <v>1562</v>
      </c>
      <c r="BS1" s="54" t="s">
        <v>1563</v>
      </c>
      <c r="BT1" s="54" t="s">
        <v>1564</v>
      </c>
      <c r="BU1" s="54" t="s">
        <v>1565</v>
      </c>
      <c r="BV1" s="54" t="s">
        <v>1566</v>
      </c>
      <c r="BW1" s="54" t="s">
        <v>1567</v>
      </c>
      <c r="BX1" s="54" t="s">
        <v>1568</v>
      </c>
      <c r="BY1" s="54" t="s">
        <v>1569</v>
      </c>
      <c r="BZ1" s="54" t="s">
        <v>1570</v>
      </c>
      <c r="CA1" s="54" t="s">
        <v>1571</v>
      </c>
      <c r="CB1" s="54" t="s">
        <v>1572</v>
      </c>
      <c r="CC1" s="58" t="s">
        <v>1427</v>
      </c>
    </row>
  </sheetData>
  <autoFilter ref="A1:CD160">
    <filterColumn colId="37">
      <filters>
        <filter val="Assembly"/>
        <filter val="Boxing"/>
        <filter val="Cleaning"/>
      </filters>
    </filterColumn>
  </autoFilter>
  <conditionalFormatting sqref="A159:A160">
    <cfRule type="duplicateValues" priority="2" aboveAverage="0" equalAverage="0" bottom="0" percent="0" rank="0" text="" dxfId="23"/>
  </conditionalFormatting>
  <conditionalFormatting sqref="B159:B160">
    <cfRule type="duplicateValues" priority="3" aboveAverage="0" equalAverage="0" bottom="0" percent="0" rank="0" text="" dxfId="24"/>
  </conditionalFormatting>
  <conditionalFormatting sqref="A157">
    <cfRule type="duplicateValues" priority="4" aboveAverage="0" equalAverage="0" bottom="0" percent="0" rank="0" text="" dxfId="25"/>
  </conditionalFormatting>
  <conditionalFormatting sqref="B26">
    <cfRule type="duplicateValues" priority="5" aboveAverage="0" equalAverage="0" bottom="0" percent="0" rank="0" text="" dxfId="26"/>
  </conditionalFormatting>
  <conditionalFormatting sqref="A61:A62">
    <cfRule type="duplicateValues" priority="6" aboveAverage="0" equalAverage="0" bottom="0" percent="0" rank="0" text="" dxfId="27"/>
  </conditionalFormatting>
  <conditionalFormatting sqref="B61:B62">
    <cfRule type="duplicateValues" priority="7" aboveAverage="0" equalAverage="0" bottom="0" percent="0" rank="0" text="" dxfId="28"/>
  </conditionalFormatting>
  <conditionalFormatting sqref="A18">
    <cfRule type="duplicateValues" priority="8" aboveAverage="0" equalAverage="0" bottom="0" percent="0" rank="0" text="" dxfId="29"/>
    <cfRule type="duplicateValues" priority="9" aboveAverage="0" equalAverage="0" bottom="0" percent="0" rank="0" text="" dxfId="30"/>
  </conditionalFormatting>
  <conditionalFormatting sqref="B18">
    <cfRule type="duplicateValues" priority="10" aboveAverage="0" equalAverage="0" bottom="0" percent="0" rank="0" text="" dxfId="31"/>
    <cfRule type="duplicateValues" priority="11" aboveAverage="0" equalAverage="0" bottom="0" percent="0" rank="0" text="" dxfId="32"/>
  </conditionalFormatting>
  <conditionalFormatting sqref="B32">
    <cfRule type="duplicateValues" priority="12" aboveAverage="0" equalAverage="0" bottom="0" percent="0" rank="0" text="" dxfId="33"/>
  </conditionalFormatting>
  <conditionalFormatting sqref="B40:B42">
    <cfRule type="duplicateValues" priority="13" aboveAverage="0" equalAverage="0" bottom="0" percent="0" rank="0" text="" dxfId="34"/>
  </conditionalFormatting>
  <conditionalFormatting sqref="B35">
    <cfRule type="duplicateValues" priority="14" aboveAverage="0" equalAverage="0" bottom="0" percent="0" rank="0" text="" dxfId="35"/>
  </conditionalFormatting>
  <conditionalFormatting sqref="A29:A32 A34:A38 A24:A26">
    <cfRule type="duplicateValues" priority="15" aboveAverage="0" equalAverage="0" bottom="0" percent="0" rank="0" text="" dxfId="36"/>
  </conditionalFormatting>
  <conditionalFormatting sqref="B23">
    <cfRule type="duplicateValues" priority="16" aboveAverage="0" equalAverage="0" bottom="0" percent="0" rank="0" text="" dxfId="37"/>
  </conditionalFormatting>
  <conditionalFormatting sqref="A23">
    <cfRule type="duplicateValues" priority="17" aboveAverage="0" equalAverage="0" bottom="0" percent="0" rank="0" text="" dxfId="38"/>
  </conditionalFormatting>
  <conditionalFormatting sqref="B22">
    <cfRule type="duplicateValues" priority="18" aboveAverage="0" equalAverage="0" bottom="0" percent="0" rank="0" text="" dxfId="39"/>
  </conditionalFormatting>
  <conditionalFormatting sqref="A22">
    <cfRule type="duplicateValues" priority="19" aboveAverage="0" equalAverage="0" bottom="0" percent="0" rank="0" text="" dxfId="40"/>
  </conditionalFormatting>
  <conditionalFormatting sqref="A21">
    <cfRule type="duplicateValues" priority="20" aboveAverage="0" equalAverage="0" bottom="0" percent="0" rank="0" text="" dxfId="41"/>
  </conditionalFormatting>
  <conditionalFormatting sqref="B20">
    <cfRule type="duplicateValues" priority="21" aboveAverage="0" equalAverage="0" bottom="0" percent="0" rank="0" text="" dxfId="42"/>
  </conditionalFormatting>
  <conditionalFormatting sqref="A20">
    <cfRule type="duplicateValues" priority="22" aboveAverage="0" equalAverage="0" bottom="0" percent="0" rank="0" text="" dxfId="43"/>
  </conditionalFormatting>
  <conditionalFormatting sqref="A15">
    <cfRule type="duplicateValues" priority="23" aboveAverage="0" equalAverage="0" bottom="0" percent="0" rank="0" text="" dxfId="44"/>
  </conditionalFormatting>
  <conditionalFormatting sqref="B14">
    <cfRule type="duplicateValues" priority="24" aboveAverage="0" equalAverage="0" bottom="0" percent="0" rank="0" text="" dxfId="45"/>
  </conditionalFormatting>
  <conditionalFormatting sqref="A14">
    <cfRule type="duplicateValues" priority="25" aboveAverage="0" equalAverage="0" bottom="0" percent="0" rank="0" text="" dxfId="46"/>
  </conditionalFormatting>
  <conditionalFormatting sqref="B12:B13">
    <cfRule type="duplicateValues" priority="26" aboveAverage="0" equalAverage="0" bottom="0" percent="0" rank="0" text="" dxfId="47"/>
  </conditionalFormatting>
  <conditionalFormatting sqref="A12:A13">
    <cfRule type="duplicateValues" priority="27" aboveAverage="0" equalAverage="0" bottom="0" percent="0" rank="0" text="" dxfId="48"/>
  </conditionalFormatting>
  <conditionalFormatting sqref="B11">
    <cfRule type="duplicateValues" priority="28" aboveAverage="0" equalAverage="0" bottom="0" percent="0" rank="0" text="" dxfId="49"/>
  </conditionalFormatting>
  <conditionalFormatting sqref="A11">
    <cfRule type="duplicateValues" priority="29" aboveAverage="0" equalAverage="0" bottom="0" percent="0" rank="0" text="" dxfId="50"/>
  </conditionalFormatting>
  <conditionalFormatting sqref="B9">
    <cfRule type="duplicateValues" priority="30" aboveAverage="0" equalAverage="0" bottom="0" percent="0" rank="0" text="" dxfId="51"/>
  </conditionalFormatting>
  <conditionalFormatting sqref="A9">
    <cfRule type="duplicateValues" priority="31" aboveAverage="0" equalAverage="0" bottom="0" percent="0" rank="0" text="" dxfId="52"/>
  </conditionalFormatting>
  <conditionalFormatting sqref="B8">
    <cfRule type="duplicateValues" priority="32" aboveAverage="0" equalAverage="0" bottom="0" percent="0" rank="0" text="" dxfId="53"/>
  </conditionalFormatting>
  <conditionalFormatting sqref="A8">
    <cfRule type="duplicateValues" priority="33" aboveAverage="0" equalAverage="0" bottom="0" percent="0" rank="0" text="" dxfId="54"/>
  </conditionalFormatting>
  <conditionalFormatting sqref="B10">
    <cfRule type="duplicateValues" priority="34" aboveAverage="0" equalAverage="0" bottom="0" percent="0" rank="0" text="" dxfId="55"/>
  </conditionalFormatting>
  <conditionalFormatting sqref="A10">
    <cfRule type="duplicateValues" priority="35" aboveAverage="0" equalAverage="0" bottom="0" percent="0" rank="0" text="" dxfId="56"/>
  </conditionalFormatting>
  <conditionalFormatting sqref="AJ136">
    <cfRule type="duplicateValues" priority="36" aboveAverage="0" equalAverage="0" bottom="0" percent="0" rank="0" text="" dxfId="57"/>
  </conditionalFormatting>
  <conditionalFormatting sqref="AJ144:AJ155">
    <cfRule type="duplicateValues" priority="37" aboveAverage="0" equalAverage="0" bottom="0" percent="0" rank="0" text="" dxfId="58"/>
  </conditionalFormatting>
  <conditionalFormatting sqref="A17">
    <cfRule type="duplicateValues" priority="38" aboveAverage="0" equalAverage="0" bottom="0" percent="0" rank="0" text="" dxfId="59"/>
  </conditionalFormatting>
  <conditionalFormatting sqref="B17">
    <cfRule type="duplicateValues" priority="39" aboveAverage="0" equalAverage="0" bottom="0" percent="0" rank="0" text="" dxfId="60"/>
  </conditionalFormatting>
  <conditionalFormatting sqref="A133:A136 A144:A155">
    <cfRule type="duplicateValues" priority="40" aboveAverage="0" equalAverage="0" bottom="0" percent="0" rank="0" text="" dxfId="61"/>
  </conditionalFormatting>
  <conditionalFormatting sqref="A40:A42">
    <cfRule type="duplicateValues" priority="41" aboveAverage="0" equalAverage="0" bottom="0" percent="0" rank="0" text="" dxfId="62"/>
  </conditionalFormatting>
  <conditionalFormatting sqref="A43:A60">
    <cfRule type="duplicateValues" priority="42" aboveAverage="0" equalAverage="0" bottom="0" percent="0" rank="0" text="" dxfId="63"/>
  </conditionalFormatting>
  <conditionalFormatting sqref="B43:B60">
    <cfRule type="duplicateValues" priority="43" aboveAverage="0" equalAverage="0" bottom="0" percent="0" rank="0" text="" dxfId="64"/>
  </conditionalFormatting>
  <conditionalFormatting sqref="A63:A99">
    <cfRule type="duplicateValues" priority="44" aboveAverage="0" equalAverage="0" bottom="0" percent="0" rank="0" text="" dxfId="65"/>
  </conditionalFormatting>
  <conditionalFormatting sqref="B63:B99">
    <cfRule type="duplicateValues" priority="45" aboveAverage="0" equalAverage="0" bottom="0" percent="0" rank="0" text="" dxfId="66"/>
  </conditionalFormatting>
  <conditionalFormatting sqref="AJ133">
    <cfRule type="duplicateValues" priority="46" aboveAverage="0" equalAverage="0" bottom="0" percent="0" rank="0" text="" dxfId="67"/>
    <cfRule type="duplicateValues" priority="47" aboveAverage="0" equalAverage="0" bottom="0" percent="0" rank="0" text="" dxfId="68"/>
  </conditionalFormatting>
  <conditionalFormatting sqref="B170">
    <cfRule type="duplicateValues" priority="48" aboveAverage="0" equalAverage="0" bottom="0" percent="0" rank="0" text="" dxfId="69"/>
  </conditionalFormatting>
  <conditionalFormatting sqref="AJ165">
    <cfRule type="duplicateValues" priority="49" aboveAverage="0" equalAverage="0" bottom="0" percent="0" rank="0" text="" dxfId="70"/>
  </conditionalFormatting>
  <conditionalFormatting sqref="A165">
    <cfRule type="duplicateValues" priority="50" aboveAverage="0" equalAverage="0" bottom="0" percent="0" rank="0" text="" dxfId="71"/>
    <cfRule type="duplicateValues" priority="51" aboveAverage="0" equalAverage="0" bottom="0" percent="0" rank="0" text="" dxfId="72"/>
  </conditionalFormatting>
  <conditionalFormatting sqref="B168">
    <cfRule type="duplicateValues" priority="52" aboveAverage="0" equalAverage="0" bottom="0" percent="0" rank="0" text="" dxfId="73"/>
  </conditionalFormatting>
  <conditionalFormatting sqref="AJ169:AJ170">
    <cfRule type="duplicateValues" priority="53" aboveAverage="0" equalAverage="0" bottom="0" percent="0" rank="0" text="" dxfId="74"/>
  </conditionalFormatting>
  <conditionalFormatting sqref="B165">
    <cfRule type="duplicateValues" priority="54" aboveAverage="0" equalAverage="0" bottom="0" percent="0" rank="0" text="" dxfId="75"/>
  </conditionalFormatting>
  <conditionalFormatting sqref="A169:A170 A172:A1048576 A1">
    <cfRule type="duplicateValues" priority="55" aboveAverage="0" equalAverage="0" bottom="0" percent="0" rank="0" text="" dxfId="76"/>
  </conditionalFormatting>
  <conditionalFormatting sqref="A166:A170">
    <cfRule type="duplicateValues" priority="56" aboveAverage="0" equalAverage="0" bottom="0" percent="0" rank="0" text="" dxfId="77"/>
  </conditionalFormatting>
  <conditionalFormatting sqref="B167:B169">
    <cfRule type="duplicateValues" priority="57" aboveAverage="0" equalAverage="0" bottom="0" percent="0" rank="0" text="" dxfId="78"/>
  </conditionalFormatting>
  <dataValidations count="20">
    <dataValidation allowBlank="true" errorStyle="stop" operator="greaterThanOrEqual" showDropDown="false" showErrorMessage="true" showInputMessage="true" sqref="G1:H1 AU1:BA1 BI1 G43:H62 AU43:BA62 BI43:BI62 G100:H105 AU100:BA105 BI100:BI105 G107:H111 AU107:BA111 BI107:BI111 G115:H123 AU115:BA123 BI115:BI123 G156:H156 AU156:BA156 BI156 G160:H160 AU160:BA160 BI160" type="none">
      <formula1>0</formula1>
      <formula2>0</formula2>
    </dataValidation>
    <dataValidation allowBlank="true" error="Whole Numbers Only" errorStyle="stop" operator="greaterThanOrEqual" showDropDown="false" showErrorMessage="true" showInputMessage="true" sqref="G8:H19 H20:H38 H41:H42 H63:H82 G83:H85 H86:H99 H106 G113:H113 G133:H136 G144:H155 H157 H159 G165:H1001" type="whole">
      <formula1>0</formula1>
      <formula2>0</formula2>
    </dataValidation>
    <dataValidation allowBlank="true" error="Whole Number between 0 and 2" errorStyle="stop" operator="between" showDropDown="false" showErrorMessage="true" showInputMessage="true" sqref="M8:M38 M41:M42 M63:M99 M106 M113 M133:M136 M144:M155 M157 M159 M165:M1001" type="whole">
      <formula1>0</formula1>
      <formula2>2</formula2>
    </dataValidation>
    <dataValidation allowBlank="true" error="Only numbers &gt;=0" errorStyle="stop" operator="greaterThanOrEqual" showDropDown="false" showErrorMessage="true" showInputMessage="true" sqref="AU8:BA38 AU41:BA42 AU63:BA99 AU106:BA106 AU113:BA113 AU133:BA136 AU144:BA155 AU157:BA157 AU159:BA159 AU165:BA1001" type="decimal">
      <formula1>0</formula1>
      <formula2>0</formula2>
    </dataValidation>
    <dataValidation allowBlank="true" errorStyle="stop" operator="greaterThanOrEqual" showDropDown="false" showErrorMessage="true" showInputMessage="true" sqref="CB1 BI8:BI38 CB8:CB38 BI41:BI42 CB41:CB107 BI63:BI99 BI106 CB108:CB111 BI113 CB113 CB115:CB123 BI133:BI136 CB133:CB136 BI144:BI155 CB144:CB157 BI157 BI159 CB159:CB160 BI165:BI1001 CB165:CB1001" type="decimal">
      <formula1>0</formula1>
      <formula2>0</formula2>
    </dataValidation>
    <dataValidation allowBlank="true" errorStyle="stop" operator="between" showDropDown="false" showErrorMessage="true" showInputMessage="true" sqref="BK8:BK38 BK41:BK42 BK63:BK99 BK106 BK113 BK133:BK136 BK144:BK155 BK157 BK159 BK165:BK1001" type="decimal">
      <formula1>-9.99999999999999E+024</formula1>
      <formula2>9.99999999999999E+022</formula2>
    </dataValidation>
    <dataValidation allowBlank="true" error="Value &gt;=0" errorStyle="stop" errorTitle="Value &gt;=0" operator="greaterThanOrEqual" showDropDown="false" showErrorMessage="true" showInputMessage="true" sqref="CA1 CA8:CA38 CA41:CA111 CA113 CA115:CA123 CA133:CA136 CA144:CA157 CA159:CA160 CA165:CA1001" type="whole">
      <formula1>0</formula1>
      <formula2>0</formula2>
    </dataValidation>
    <dataValidation allowBlank="true" error="Value &gt;=1" errorStyle="stop" errorTitle="Value &gt;=1" operator="greaterThanOrEqual" showDropDown="false" showErrorMessage="true" showInputMessage="true" sqref="BY1:BZ1 BY8:BZ38 BY41:BZ111 BY113:BZ113 BY115:BZ123 BY133:BZ136 BY144:BZ157 BY159:BZ160 BY165:BZ1001" type="whole">
      <formula1>1</formula1>
      <formula2>0</formula2>
    </dataValidation>
    <dataValidation allowBlank="true" error="Value &gt;= 2" errorStyle="stop" errorTitle="Value &gt;= 2" operator="greaterThanOrEqual" showDropDown="false" showErrorMessage="true" showInputMessage="true" sqref="BX1 BX8:BX38 BX41:BX111 BX113 BX115:BX123 BX133:BX136 BX144:BX157 BX159:BX160 BX165:BX1001" type="whole">
      <formula1>2</formula1>
      <formula2>0</formula2>
    </dataValidation>
    <dataValidation allowBlank="true" errorStyle="stop" operator="between" showDropDown="false" showErrorMessage="true" showInputMessage="true" sqref="D1 X144:Y146 X165:Z165 AB165:AD166 AG165:AG1001 BB165:BB1001 BD165:BH1001 BS165:BS1001 L166:L1001 N166:O1001 Q166:R1001 U166:Z166 D167:D1001 U167:AE1001 AI167:AI1001" type="list">
      <formula1>Enums!$A$34:$A$35</formula1>
      <formula2>0</formula2>
    </dataValidation>
    <dataValidation allowBlank="true" errorStyle="stop" operator="between" showDropDown="false" showErrorMessage="true" showInputMessage="true" sqref="BQ1 BQ165:BQ1001" type="list">
      <formula1>Enums!$AM$49:$AM$50</formula1>
      <formula2>0</formula2>
    </dataValidation>
    <dataValidation allowBlank="true" errorStyle="stop" operator="between" showDropDown="false" showErrorMessage="true" showInputMessage="true" sqref="BJ165:BJ1001" type="list">
      <formula1>Enums!$K$72:$K$75</formula1>
      <formula2>0</formula2>
    </dataValidation>
    <dataValidation allowBlank="true" errorStyle="stop" operator="between" showDropDown="false" showErrorMessage="true" showInputMessage="true" sqref="BL165:BL1001" type="list">
      <formula1>Enums!$G$51:$G$53</formula1>
      <formula2>0</formula2>
    </dataValidation>
    <dataValidation allowBlank="true" errorStyle="stop" operator="between" showDropDown="false" showErrorMessage="true" showInputMessage="true" sqref="BO165:BO1001" type="list">
      <formula1>Enums!$K$78:$K$81</formula1>
      <formula2>0</formula2>
    </dataValidation>
    <dataValidation allowBlank="true" errorStyle="stop" operator="between" showDropDown="false" showErrorMessage="true" showInputMessage="true" sqref="BN165:BN1001" type="list">
      <formula1>Enums!$K$84:$K$87</formula1>
      <formula2>0</formula2>
    </dataValidation>
    <dataValidation allowBlank="true" errorStyle="stop" operator="between" showDropDown="false" showErrorMessage="true" showInputMessage="true" sqref="F166:F1001" type="list">
      <formula1>Enums!$K$53:$K$55</formula1>
      <formula2>0</formula2>
    </dataValidation>
    <dataValidation allowBlank="true" errorStyle="stop" operator="between" showDropDown="false" showErrorMessage="true" showInputMessage="true" sqref="P166:P1001" type="list">
      <formula1>Enums!$K$58:$K$60</formula1>
      <formula2>0</formula2>
    </dataValidation>
    <dataValidation allowBlank="true" errorStyle="stop" operator="between" showDropDown="false" showErrorMessage="true" showInputMessage="true" sqref="AF167:AF1001" type="list">
      <formula1>Enums!$K$63:$K$65</formula1>
      <formula2>0</formula2>
    </dataValidation>
    <dataValidation allowBlank="true" errorStyle="stop" operator="between" showDropDown="false" showErrorMessage="true" showInputMessage="true" sqref="AH167:AH1001" type="list">
      <formula1>Enums!$K$68:$K$69</formula1>
      <formula2>0</formula2>
    </dataValidation>
    <dataValidation allowBlank="true" errorStyle="stop" operator="between" showDropDown="false" showErrorMessage="true" showInputMessage="true" sqref="BM167:BM1001" type="list">
      <formula1>Enums!$AM$45:$AM$46</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H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8" activeCellId="0" sqref="A18"/>
    </sheetView>
  </sheetViews>
  <sheetFormatPr defaultColWidth="9.36328125" defaultRowHeight="15" customHeight="true" zeroHeight="false" outlineLevelRow="0" outlineLevelCol="0"/>
  <cols>
    <col collapsed="false" customWidth="true" hidden="false" outlineLevel="0" max="1" min="1" style="60" width="39.36"/>
    <col collapsed="false" customWidth="true" hidden="false" outlineLevel="0" max="2" min="2" style="60" width="91.63"/>
    <col collapsed="false" customWidth="true" hidden="false" outlineLevel="0" max="3" min="3" style="60" width="22.63"/>
    <col collapsed="false" customWidth="true" hidden="false" outlineLevel="0" max="4" min="4" style="60" width="22.36"/>
    <col collapsed="false" customWidth="true" hidden="false" outlineLevel="0" max="5" min="5" style="60" width="21.54"/>
    <col collapsed="false" customWidth="true" hidden="false" outlineLevel="0" max="6" min="6" style="60" width="8.54"/>
    <col collapsed="false" customWidth="true" hidden="false" outlineLevel="0" max="7" min="7" style="60" width="19.54"/>
    <col collapsed="false" customWidth="true" hidden="false" outlineLevel="0" max="8" min="8" style="60" width="30"/>
    <col collapsed="false" customWidth="true" hidden="false" outlineLevel="0" max="9" min="9" style="60" width="21.63"/>
    <col collapsed="false" customWidth="false" hidden="false" outlineLevel="0" max="16384" min="10" style="60" width="9.36"/>
  </cols>
  <sheetData>
    <row r="1" s="62" customFormat="true" ht="15" hidden="false" customHeight="true" outlineLevel="0" collapsed="false">
      <c r="A1" s="61" t="s">
        <v>948</v>
      </c>
      <c r="B1" s="61" t="s">
        <v>1458</v>
      </c>
      <c r="C1" s="61" t="s">
        <v>1573</v>
      </c>
      <c r="D1" s="61" t="s">
        <v>1574</v>
      </c>
      <c r="E1" s="61" t="s">
        <v>1575</v>
      </c>
      <c r="F1" s="61" t="s">
        <v>1576</v>
      </c>
      <c r="G1" s="61" t="s">
        <v>1577</v>
      </c>
      <c r="H1" s="61" t="s">
        <v>1578</v>
      </c>
    </row>
  </sheetData>
  <conditionalFormatting sqref="A37:A55">
    <cfRule type="duplicateValues" priority="2" aboveAverage="0" equalAverage="0" bottom="0" percent="0" rank="0" text="" dxfId="79"/>
  </conditionalFormatting>
  <conditionalFormatting sqref="A18:A36">
    <cfRule type="duplicateValues" priority="3" aboveAverage="0" equalAverage="0" bottom="0" percent="0" rank="0" text="" dxfId="80"/>
  </conditionalFormatting>
  <conditionalFormatting sqref="A75:A93">
    <cfRule type="duplicateValues" priority="4" aboveAverage="0" equalAverage="0" bottom="0" percent="0" rank="0" text="" dxfId="81"/>
  </conditionalFormatting>
  <conditionalFormatting sqref="A56:A74">
    <cfRule type="duplicateValues" priority="5" aboveAverage="0" equalAverage="0" bottom="0" percent="0" rank="0" text="" dxfId="82"/>
  </conditionalFormatting>
  <dataValidations count="1">
    <dataValidation allowBlank="true" errorStyle="stop" operator="between" showDropDown="false" showErrorMessage="true" showInputMessage="true" sqref="C2:E1001 G2:H1000" type="list">
      <formula1>"Yes,No"</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 activeCellId="0" sqref="B2"/>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3.36"/>
  </cols>
  <sheetData>
    <row r="1" s="42" customFormat="true" ht="15" hidden="false" customHeight="true" outlineLevel="0" collapsed="false">
      <c r="A1" s="54" t="s">
        <v>948</v>
      </c>
      <c r="B1" s="54" t="s">
        <v>1470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8.6796875" defaultRowHeight="15" customHeight="true" zeroHeight="false" outlineLevelRow="0" outlineLevelCol="0"/>
  <cols>
    <col collapsed="false" customWidth="true" hidden="false" outlineLevel="0" max="1" min="1" style="0" width="15.63"/>
    <col collapsed="false" customWidth="true" hidden="false" outlineLevel="0" max="2" min="2" style="0" width="22.36"/>
  </cols>
  <sheetData>
    <row r="1" s="42" customFormat="true" ht="15" hidden="false" customHeight="true" outlineLevel="0" collapsed="false">
      <c r="A1" s="54" t="s">
        <v>948</v>
      </c>
      <c r="B1" s="54" t="s">
        <v>1579</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 activeCellId="0" sqref="B2"/>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6.45"/>
    <col collapsed="false" customWidth="true" hidden="false" outlineLevel="0" max="3" min="3" style="0" width="8.36"/>
  </cols>
  <sheetData>
    <row r="1" s="42" customFormat="true" ht="15" hidden="false" customHeight="true" outlineLevel="0" collapsed="false">
      <c r="A1" s="54" t="s">
        <v>948</v>
      </c>
      <c r="B1" s="54" t="s">
        <v>1277</v>
      </c>
      <c r="C1" s="54" t="s">
        <v>1108</v>
      </c>
    </row>
  </sheetData>
  <dataValidations count="1">
    <dataValidation allowBlank="true" errorStyle="stop" operator="between" showDropDown="false" showErrorMessage="true" showInputMessage="true" sqref="C2:C1001" type="list">
      <formula1>Enums!$AI$99:$AI$105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L2" activePane="bottomRight" state="frozen"/>
      <selection pane="topLeft" activeCell="A1" activeCellId="0" sqref="A1"/>
      <selection pane="topRight" activeCell="L1" activeCellId="0" sqref="L1"/>
      <selection pane="bottomLeft" activeCell="A2" activeCellId="0" sqref="A2"/>
      <selection pane="bottomRight" activeCell="B2" activeCellId="0" sqref="B2"/>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6.45"/>
    <col collapsed="false" customWidth="true" hidden="false" outlineLevel="0" max="3" min="3" style="0" width="22.54"/>
    <col collapsed="false" customWidth="true" hidden="false" outlineLevel="0" max="4" min="4" style="0" width="20"/>
    <col collapsed="false" customWidth="true" hidden="false" outlineLevel="0" max="5" min="5" style="0" width="9.36"/>
    <col collapsed="false" customWidth="true" hidden="false" outlineLevel="0" max="6" min="6" style="0" width="26.45"/>
    <col collapsed="false" customWidth="true" hidden="false" outlineLevel="0" max="7" min="7" style="0" width="14.45"/>
    <col collapsed="false" customWidth="true" hidden="false" outlineLevel="0" max="8" min="8" style="0" width="10"/>
    <col collapsed="false" customWidth="true" hidden="false" outlineLevel="0" max="9" min="9" style="0" width="17.45"/>
    <col collapsed="false" customWidth="true" hidden="false" outlineLevel="0" max="10" min="10" style="0" width="16.45"/>
    <col collapsed="false" customWidth="true" hidden="false" outlineLevel="0" max="11" min="11" style="0" width="20.45"/>
    <col collapsed="false" customWidth="true" hidden="false" outlineLevel="0" max="12" min="12" style="0" width="23.54"/>
    <col collapsed="false" customWidth="true" hidden="false" outlineLevel="0" max="13" min="13" style="0" width="30.54"/>
    <col collapsed="false" customWidth="true" hidden="false" outlineLevel="0" max="14" min="14" style="0" width="31.45"/>
    <col collapsed="false" customWidth="true" hidden="false" outlineLevel="0" max="15" min="15" style="0" width="29.45"/>
    <col collapsed="false" customWidth="true" hidden="false" outlineLevel="0" max="16" min="16" style="0" width="22.63"/>
    <col collapsed="false" customWidth="true" hidden="false" outlineLevel="0" max="17" min="17" style="0" width="25.54"/>
    <col collapsed="false" customWidth="true" hidden="false" outlineLevel="0" max="18" min="18" style="0" width="44"/>
    <col collapsed="false" customWidth="true" hidden="false" outlineLevel="0" max="19" min="19" style="0" width="49.45"/>
  </cols>
  <sheetData>
    <row r="1" s="42" customFormat="true" ht="15" hidden="false" customHeight="true" outlineLevel="0" collapsed="false">
      <c r="A1" s="54" t="s">
        <v>948</v>
      </c>
      <c r="B1" s="54" t="s">
        <v>1277</v>
      </c>
      <c r="C1" s="54" t="s">
        <v>1580</v>
      </c>
      <c r="D1" s="54" t="s">
        <v>1581</v>
      </c>
      <c r="E1" s="54" t="s">
        <v>976</v>
      </c>
      <c r="F1" s="54" t="s">
        <v>543</v>
      </c>
      <c r="G1" s="54" t="s">
        <v>1582</v>
      </c>
      <c r="H1" s="54" t="s">
        <v>1022</v>
      </c>
      <c r="I1" s="54" t="s">
        <v>1583</v>
      </c>
      <c r="J1" s="54" t="s">
        <v>1056</v>
      </c>
      <c r="K1" s="54" t="s">
        <v>1584</v>
      </c>
      <c r="L1" s="54" t="s">
        <v>1585</v>
      </c>
      <c r="M1" s="54" t="s">
        <v>1586</v>
      </c>
      <c r="N1" s="54" t="s">
        <v>1587</v>
      </c>
      <c r="O1" s="54" t="s">
        <v>1588</v>
      </c>
      <c r="P1" s="54" t="s">
        <v>1589</v>
      </c>
      <c r="Q1" s="54" t="s">
        <v>1590</v>
      </c>
      <c r="R1" s="54" t="s">
        <v>1591</v>
      </c>
      <c r="S1" s="54" t="s">
        <v>1592</v>
      </c>
    </row>
  </sheetData>
  <dataValidations count="8">
    <dataValidation allowBlank="true" error="Value &gt;=0" errorStyle="stop" operator="greaterThanOrEqual" showDropDown="false" showErrorMessage="true" showInputMessage="true" sqref="G1:G1001 R1:R1001" type="whole">
      <formula1>0</formula1>
      <formula2>0</formula2>
    </dataValidation>
    <dataValidation allowBlank="true" error="Value &gt;=1" errorStyle="stop" operator="greaterThanOrEqual" showDropDown="false" showErrorMessage="true" showInputMessage="true" sqref="I1:I1001 O1:Q1001 K2:K1001" type="whole">
      <formula1>1</formula1>
      <formula2>0</formula2>
    </dataValidation>
    <dataValidation allowBlank="true" error="Value &gt;=0" errorStyle="stop" operator="greaterThanOrEqual" showDropDown="false" showErrorMessage="true" showInputMessage="true" sqref="S1:S1001" type="decimal">
      <formula1>0</formula1>
      <formula2>0</formula2>
    </dataValidation>
    <dataValidation allowBlank="true" error="Value &gt;=1" errorStyle="stop" operator="greaterThanOrEqual" showDropDown="false" showErrorMessage="true" showInputMessage="true" sqref="K1" type="none">
      <formula1>0</formula1>
      <formula2>0</formula2>
    </dataValidation>
    <dataValidation allowBlank="true" errorStyle="stop" operator="between" showDropDown="false" showErrorMessage="true" showInputMessage="true" sqref="E2:E1001" type="list">
      <formula1>Enums!$AI$83:$AI$84</formula1>
      <formula2>0</formula2>
    </dataValidation>
    <dataValidation allowBlank="true" errorStyle="stop" operator="between" showDropDown="false" showErrorMessage="true" showInputMessage="true" sqref="H2:H1001" type="list">
      <formula1>Enums!$AI$88:$AI$89</formula1>
      <formula2>0</formula2>
    </dataValidation>
    <dataValidation allowBlank="true" errorStyle="stop" operator="between" showDropDown="false" showErrorMessage="true" showInputMessage="true" sqref="J2:J1001" type="list">
      <formula1>Enums!$AI$93:$AI$95</formula1>
      <formula2>0</formula2>
    </dataValidation>
    <dataValidation allowBlank="true" errorStyle="stop" operator="between" showDropDown="false" showErrorMessage="true" showInputMessage="true" sqref="F2:F1001" type="list">
      <formula1>Enums!$AK$43:$AK$51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F2" activePane="bottomRight" state="frozen"/>
      <selection pane="topLeft" activeCell="A1" activeCellId="0" sqref="A1"/>
      <selection pane="topRight" activeCell="F1" activeCellId="0" sqref="F1"/>
      <selection pane="bottomLeft" activeCell="A2" activeCellId="0" sqref="A2"/>
      <selection pane="bottomRight" activeCell="B2" activeCellId="0" sqref="B2"/>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2.63"/>
    <col collapsed="false" customWidth="true" hidden="false" outlineLevel="0" max="3" min="3" style="0" width="7.63"/>
    <col collapsed="false" customWidth="true" hidden="false" outlineLevel="0" max="4" min="4" style="0" width="13.54"/>
    <col collapsed="false" customWidth="true" hidden="false" outlineLevel="0" max="5" min="5" style="0" width="9.36"/>
    <col collapsed="false" customWidth="true" hidden="false" outlineLevel="0" max="6" min="6" style="0" width="6.63"/>
    <col collapsed="false" customWidth="true" hidden="false" outlineLevel="0" max="7" min="7" style="0" width="13.54"/>
    <col collapsed="false" customWidth="true" hidden="false" outlineLevel="0" max="8" min="8" style="0" width="5.45"/>
    <col collapsed="false" customWidth="true" hidden="false" outlineLevel="0" max="9" min="9" style="0" width="17.63"/>
    <col collapsed="false" customWidth="true" hidden="false" outlineLevel="0" max="10" min="10" style="0" width="21.54"/>
    <col collapsed="false" customWidth="true" hidden="false" outlineLevel="0" max="11" min="11" style="0" width="28.45"/>
    <col collapsed="false" customWidth="true" hidden="false" outlineLevel="0" max="12" min="12" style="0" width="29"/>
    <col collapsed="false" customWidth="true" hidden="false" outlineLevel="0" max="13" min="13" style="0" width="27.45"/>
    <col collapsed="false" customWidth="true" hidden="false" outlineLevel="0" max="14" min="14" style="0" width="20.54"/>
    <col collapsed="false" customWidth="true" hidden="false" outlineLevel="0" max="15" min="15" style="0" width="23.45"/>
    <col collapsed="false" customWidth="true" hidden="false" outlineLevel="0" max="16" min="16" style="0" width="41.54"/>
    <col collapsed="false" customWidth="true" hidden="false" outlineLevel="0" max="17" min="17" style="0" width="47.36"/>
  </cols>
  <sheetData>
    <row r="1" s="42" customFormat="true" ht="15" hidden="false" customHeight="true" outlineLevel="0" collapsed="false">
      <c r="A1" s="54" t="s">
        <v>948</v>
      </c>
      <c r="B1" s="56" t="s">
        <v>388</v>
      </c>
      <c r="C1" s="56" t="s">
        <v>644</v>
      </c>
      <c r="D1" s="56" t="s">
        <v>865</v>
      </c>
      <c r="E1" s="56" t="s">
        <v>386</v>
      </c>
      <c r="F1" s="56" t="s">
        <v>1119</v>
      </c>
      <c r="G1" s="56" t="s">
        <v>1122</v>
      </c>
      <c r="H1" s="56" t="s">
        <v>996</v>
      </c>
      <c r="I1" s="54" t="s">
        <v>1505</v>
      </c>
      <c r="J1" s="54" t="s">
        <v>1593</v>
      </c>
      <c r="K1" s="54" t="s">
        <v>1594</v>
      </c>
      <c r="L1" s="54" t="s">
        <v>1595</v>
      </c>
      <c r="M1" s="54" t="s">
        <v>1596</v>
      </c>
      <c r="N1" s="54" t="s">
        <v>1597</v>
      </c>
      <c r="O1" s="54" t="s">
        <v>1598</v>
      </c>
      <c r="P1" s="54" t="s">
        <v>1599</v>
      </c>
      <c r="Q1" s="54" t="s">
        <v>1600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B2" activeCellId="0" sqref="B2"/>
    </sheetView>
  </sheetViews>
  <sheetFormatPr defaultColWidth="8.6796875" defaultRowHeight="15" customHeight="true" zeroHeight="false" outlineLevelRow="0" outlineLevelCol="0"/>
  <cols>
    <col collapsed="false" customWidth="true" hidden="false" outlineLevel="0" max="1" min="1" style="0" width="12.36"/>
    <col collapsed="false" customWidth="true" hidden="false" outlineLevel="0" max="2" min="2" style="0" width="11.54"/>
    <col collapsed="false" customWidth="true" hidden="false" outlineLevel="0" max="3" min="3" style="0" width="7.45"/>
  </cols>
  <sheetData>
    <row r="1" customFormat="false" ht="15" hidden="false" customHeight="true" outlineLevel="0" collapsed="false">
      <c r="A1" s="54" t="s">
        <v>1217</v>
      </c>
      <c r="B1" s="54" t="s">
        <v>1219</v>
      </c>
      <c r="C1" s="54" t="s">
        <v>922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9.36328125" defaultRowHeight="15" customHeight="true" zeroHeight="false" outlineLevelRow="0" outlineLevelCol="0"/>
  <cols>
    <col collapsed="false" customWidth="true" hidden="false" outlineLevel="0" max="1" min="1" style="1" width="13.36"/>
    <col collapsed="false" customWidth="true" hidden="false" outlineLevel="0" max="2" min="2" style="1" width="10.54"/>
    <col collapsed="false" customWidth="true" hidden="false" outlineLevel="0" max="3" min="3" style="1" width="13.54"/>
    <col collapsed="false" customWidth="true" hidden="false" outlineLevel="0" max="4" min="4" style="1" width="26.36"/>
    <col collapsed="false" customWidth="true" hidden="false" outlineLevel="0" max="6" min="5" style="1" width="23.45"/>
    <col collapsed="false" customWidth="true" hidden="false" outlineLevel="0" max="7" min="7" style="63" width="16.63"/>
    <col collapsed="false" customWidth="false" hidden="false" outlineLevel="0" max="16384" min="8" style="1" width="9.36"/>
  </cols>
  <sheetData>
    <row r="1" customFormat="false" ht="15" hidden="false" customHeight="true" outlineLevel="0" collapsed="false">
      <c r="A1" s="15" t="s">
        <v>1470</v>
      </c>
      <c r="B1" s="15" t="s">
        <v>1601</v>
      </c>
      <c r="C1" s="15" t="s">
        <v>1602</v>
      </c>
      <c r="D1" s="15" t="s">
        <v>1603</v>
      </c>
      <c r="E1" s="15" t="s">
        <v>1604</v>
      </c>
      <c r="F1" s="15" t="s">
        <v>1605</v>
      </c>
      <c r="G1" s="15" t="s">
        <v>1606</v>
      </c>
    </row>
  </sheetData>
  <dataValidations count="5">
    <dataValidation allowBlank="true" errorStyle="stop" operator="greaterThan" showDropDown="false" showErrorMessage="true" showInputMessage="true" sqref="F1" type="none">
      <formula1>0</formula1>
      <formula2>0</formula2>
    </dataValidation>
    <dataValidation allowBlank="true" error="Numbers Only" errorStyle="stop" operator="greaterThan" showDropDown="false" showErrorMessage="true" showInputMessage="true" sqref="F2:F1001" type="decimal">
      <formula1>0</formula1>
      <formula2>0</formula2>
    </dataValidation>
    <dataValidation allowBlank="true" error="Whole Numbers Only. &gt;=0" errorStyle="stop" operator="greaterThanOrEqual" showDropDown="false" showErrorMessage="true" showInputMessage="true" sqref="D2:E1001" type="whole">
      <formula1>0</formula1>
      <formula2>0</formula2>
    </dataValidation>
    <dataValidation allowBlank="true" errorStyle="stop" operator="greaterThanOrEqual" showDropDown="false" showErrorMessage="true" showInputMessage="true" sqref="D1:E1" type="none">
      <formula1>0</formula1>
      <formula2>0</formula2>
    </dataValidation>
    <dataValidation allowBlank="true" errorStyle="stop" operator="between" showDropDown="false" showErrorMessage="true" showInputMessage="true" sqref="C2:C1001" type="list">
      <formula1>Enums!$G$86:$G$88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156" activeCellId="0" sqref="B156"/>
    </sheetView>
  </sheetViews>
  <sheetFormatPr defaultColWidth="9.36328125" defaultRowHeight="15" customHeight="true" zeroHeight="false" outlineLevelRow="0" outlineLevelCol="0"/>
  <cols>
    <col collapsed="false" customWidth="true" hidden="false" outlineLevel="0" max="1" min="1" style="64" width="33.82"/>
    <col collapsed="false" customWidth="true" hidden="false" outlineLevel="0" max="2" min="2" style="64" width="48.45"/>
    <col collapsed="false" customWidth="true" hidden="false" outlineLevel="0" max="3" min="3" style="64" width="25.36"/>
    <col collapsed="false" customWidth="true" hidden="false" outlineLevel="0" max="4" min="4" style="64" width="22.36"/>
    <col collapsed="false" customWidth="true" hidden="false" outlineLevel="0" max="5" min="5" style="64" width="21.54"/>
    <col collapsed="false" customWidth="true" hidden="false" outlineLevel="0" max="6" min="6" style="64" width="9"/>
    <col collapsed="false" customWidth="true" hidden="false" outlineLevel="0" max="7" min="7" style="64" width="28.54"/>
    <col collapsed="false" customWidth="true" hidden="false" outlineLevel="0" max="8" min="8" style="64" width="30"/>
    <col collapsed="false" customWidth="true" hidden="false" outlineLevel="0" max="9" min="9" style="64" width="13.91"/>
    <col collapsed="false" customWidth="false" hidden="false" outlineLevel="0" max="16384" min="10" style="64" width="9.36"/>
  </cols>
  <sheetData>
    <row r="1" s="62" customFormat="true" ht="15" hidden="false" customHeight="true" outlineLevel="0" collapsed="false">
      <c r="A1" s="61" t="s">
        <v>1217</v>
      </c>
      <c r="B1" s="61" t="s">
        <v>1219</v>
      </c>
      <c r="C1" s="61" t="s">
        <v>1573</v>
      </c>
      <c r="D1" s="61" t="s">
        <v>1574</v>
      </c>
      <c r="E1" s="61" t="s">
        <v>1575</v>
      </c>
      <c r="F1" s="61" t="s">
        <v>1576</v>
      </c>
      <c r="G1" s="61" t="s">
        <v>1577</v>
      </c>
      <c r="H1" s="61" t="s">
        <v>1578</v>
      </c>
    </row>
  </sheetData>
  <autoFilter ref="A1:I147"/>
  <conditionalFormatting sqref="A115:A119">
    <cfRule type="duplicateValues" priority="2" aboveAverage="0" equalAverage="0" bottom="0" percent="0" rank="0" text="" dxfId="83"/>
  </conditionalFormatting>
  <conditionalFormatting sqref="A107:A108">
    <cfRule type="duplicateValues" priority="3" aboveAverage="0" equalAverage="0" bottom="0" percent="0" rank="0" text="" dxfId="84"/>
  </conditionalFormatting>
  <conditionalFormatting sqref="A105">
    <cfRule type="duplicateValues" priority="4" aboveAverage="0" equalAverage="0" bottom="0" percent="0" rank="0" text="" dxfId="85"/>
  </conditionalFormatting>
  <conditionalFormatting sqref="A106">
    <cfRule type="duplicateValues" priority="5" aboveAverage="0" equalAverage="0" bottom="0" percent="0" rank="0" text="" dxfId="86"/>
  </conditionalFormatting>
  <conditionalFormatting sqref="A85:A104">
    <cfRule type="duplicateValues" priority="6" aboveAverage="0" equalAverage="0" bottom="0" percent="0" rank="0" text="" dxfId="87"/>
  </conditionalFormatting>
  <conditionalFormatting sqref="A109:A114">
    <cfRule type="duplicateValues" priority="7" aboveAverage="0" equalAverage="0" bottom="0" percent="0" rank="0" text="" dxfId="88"/>
  </conditionalFormatting>
  <dataValidations count="1">
    <dataValidation allowBlank="true" errorStyle="stop" operator="between" showDropDown="false" showErrorMessage="true" showInputMessage="true" sqref="C2:E2 G2:H2 C3:D6 C7:E29 G7:H29 C30:D30 C31:E81 G31:H81 C83:E477 G83:H106 G107:G108 G109:H139 H140 G141:H476 C478:E1001" type="list">
      <formula1>"Yes,No"</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 activeCellId="0" sqref="B2"/>
    </sheetView>
  </sheetViews>
  <sheetFormatPr defaultColWidth="9.36328125" defaultRowHeight="15" customHeight="true" zeroHeight="false" outlineLevelRow="0" outlineLevelCol="0"/>
  <cols>
    <col collapsed="false" customWidth="true" hidden="false" outlineLevel="0" max="1" min="1" style="65" width="5.45"/>
    <col collapsed="false" customWidth="true" hidden="false" outlineLevel="0" max="2" min="2" style="65" width="12.45"/>
    <col collapsed="false" customWidth="false" hidden="false" outlineLevel="0" max="16384" min="3" style="65" width="9.36"/>
  </cols>
  <sheetData>
    <row r="1" s="67" customFormat="true" ht="15" hidden="false" customHeight="true" outlineLevel="0" collapsed="false">
      <c r="A1" s="66" t="s">
        <v>996</v>
      </c>
      <c r="B1" s="66" t="s">
        <v>1579</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M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E60" activeCellId="0" sqref="E60"/>
    </sheetView>
  </sheetViews>
  <sheetFormatPr defaultColWidth="20.00390625" defaultRowHeight="15" customHeight="true" zeroHeight="false" outlineLevelRow="0" outlineLevelCol="0"/>
  <cols>
    <col collapsed="false" customWidth="true" hidden="false" outlineLevel="0" max="1" min="1" style="1" width="27.63"/>
    <col collapsed="false" customWidth="true" hidden="false" outlineLevel="0" max="2" min="2" style="1" width="22.45"/>
    <col collapsed="false" customWidth="true" hidden="false" outlineLevel="0" max="3" min="3" style="1" width="9"/>
    <col collapsed="false" customWidth="true" hidden="false" outlineLevel="0" max="4" min="4" style="1" width="10.54"/>
    <col collapsed="false" customWidth="true" hidden="false" outlineLevel="0" max="5" min="5" style="1" width="13.36"/>
    <col collapsed="false" customWidth="true" hidden="false" outlineLevel="0" max="6" min="6" style="1" width="15.54"/>
    <col collapsed="false" customWidth="true" hidden="false" outlineLevel="0" max="7" min="7" style="1" width="10"/>
    <col collapsed="false" customWidth="true" hidden="false" outlineLevel="0" max="8" min="8" style="1" width="11.45"/>
    <col collapsed="false" customWidth="true" hidden="false" outlineLevel="0" max="9" min="9" style="1" width="8.63"/>
    <col collapsed="false" customWidth="true" hidden="false" outlineLevel="0" max="10" min="10" style="1" width="9.54"/>
    <col collapsed="false" customWidth="true" hidden="false" outlineLevel="0" max="11" min="11" style="1" width="22.45"/>
    <col collapsed="false" customWidth="true" hidden="false" outlineLevel="0" max="12" min="12" style="1" width="22.54"/>
    <col collapsed="false" customWidth="true" hidden="false" outlineLevel="0" max="13" min="13" style="1" width="18.45"/>
    <col collapsed="false" customWidth="false" hidden="false" outlineLevel="0" max="16384" min="14" style="1" width="20"/>
  </cols>
  <sheetData>
    <row r="1" s="2" customFormat="true" ht="15" hidden="false" customHeight="true" outlineLevel="0" collapsed="false">
      <c r="A1" s="15" t="s">
        <v>1011</v>
      </c>
      <c r="B1" s="15" t="s">
        <v>2</v>
      </c>
      <c r="C1" s="15" t="s">
        <v>489</v>
      </c>
      <c r="D1" s="15" t="s">
        <v>1251</v>
      </c>
      <c r="E1" s="15" t="s">
        <v>1607</v>
      </c>
      <c r="F1" s="15" t="s">
        <v>1608</v>
      </c>
      <c r="G1" s="15" t="s">
        <v>1609</v>
      </c>
      <c r="H1" s="15" t="s">
        <v>1610</v>
      </c>
      <c r="I1" s="15" t="s">
        <v>1611</v>
      </c>
      <c r="J1" s="15" t="s">
        <v>1612</v>
      </c>
      <c r="K1" s="15" t="s">
        <v>1613</v>
      </c>
      <c r="L1" s="15" t="s">
        <v>1614</v>
      </c>
      <c r="M1" s="15" t="s">
        <v>1615</v>
      </c>
    </row>
  </sheetData>
  <autoFilter ref="A1:M64">
    <sortState ref="A2:M64">
      <sortCondition ref="A2:A64"/>
    </sortState>
  </autoFilter>
  <dataValidations count="2">
    <dataValidation allowBlank="true" errorStyle="stop" operator="between" showDropDown="false" showErrorMessage="true" showInputMessage="true" sqref="F44:F46 F58 F65 F71:F1001" type="list">
      <formula1>Enums!$K$94:$K$97</formula1>
      <formula2>0</formula2>
    </dataValidation>
    <dataValidation allowBlank="true" errorStyle="stop" operator="between" showDropDown="false" showErrorMessage="true" showInputMessage="true" sqref="G44:G45 G47:G58 G63:G65 G71:G1001" type="list">
      <formula1>Enums!$M$34:$M$40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L18" activeCellId="0" sqref="L18"/>
    </sheetView>
  </sheetViews>
  <sheetFormatPr defaultColWidth="9.36328125" defaultRowHeight="15" customHeight="true" zeroHeight="false" outlineLevelRow="0" outlineLevelCol="0"/>
  <cols>
    <col collapsed="false" customWidth="true" hidden="false" outlineLevel="0" max="1" min="1" style="35" width="12.54"/>
    <col collapsed="false" customWidth="true" hidden="false" outlineLevel="0" max="2" min="2" style="35" width="8.54"/>
    <col collapsed="false" customWidth="true" hidden="false" outlineLevel="0" max="3" min="3" style="35" width="17.36"/>
    <col collapsed="false" customWidth="true" hidden="false" outlineLevel="0" max="4" min="4" style="35" width="9"/>
    <col collapsed="false" customWidth="true" hidden="false" outlineLevel="0" max="5" min="5" style="35" width="10.54"/>
    <col collapsed="false" customWidth="true" hidden="false" outlineLevel="0" max="6" min="6" style="35" width="12.45"/>
    <col collapsed="false" customWidth="true" hidden="false" outlineLevel="0" max="7" min="7" style="35" width="8.54"/>
    <col collapsed="false" customWidth="true" hidden="false" outlineLevel="0" max="8" min="8" style="35" width="9.45"/>
    <col collapsed="false" customWidth="true" hidden="false" outlineLevel="0" max="9" min="9" style="35" width="5.45"/>
    <col collapsed="false" customWidth="true" hidden="false" outlineLevel="0" max="10" min="10" style="35" width="5"/>
    <col collapsed="false" customWidth="true" hidden="false" outlineLevel="0" max="11" min="11" style="0" width="8.54"/>
    <col collapsed="false" customWidth="false" hidden="false" outlineLevel="0" max="16384" min="12" style="35" width="9.36"/>
  </cols>
  <sheetData>
    <row r="1" s="30" customFormat="true" ht="15" hidden="false" customHeight="true" outlineLevel="0" collapsed="false">
      <c r="A1" s="15" t="s">
        <v>1011</v>
      </c>
      <c r="B1" s="15" t="s">
        <v>1294</v>
      </c>
      <c r="C1" s="15" t="s">
        <v>2</v>
      </c>
      <c r="D1" s="15" t="s">
        <v>489</v>
      </c>
      <c r="E1" s="15" t="s">
        <v>1251</v>
      </c>
      <c r="F1" s="15" t="s">
        <v>1616</v>
      </c>
      <c r="G1" s="15" t="s">
        <v>1552</v>
      </c>
      <c r="H1" s="15" t="s">
        <v>1085</v>
      </c>
      <c r="I1" s="15" t="s">
        <v>996</v>
      </c>
      <c r="J1" s="15" t="s">
        <v>948</v>
      </c>
    </row>
  </sheetData>
  <dataValidations count="2">
    <dataValidation allowBlank="true" errorStyle="stop" operator="between" showDropDown="false" showErrorMessage="true" showInputMessage="true" sqref="E22:E1001" type="list">
      <formula1>"Step,Flow"</formula1>
      <formula2>0</formula2>
    </dataValidation>
    <dataValidation allowBlank="true" errorStyle="stop" operator="greaterThanOrEqual" showDropDown="false" showErrorMessage="true" showInputMessage="true" sqref="B1:B6" type="none">
      <formula1>0</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 activeCellId="0" sqref="B2"/>
    </sheetView>
  </sheetViews>
  <sheetFormatPr defaultColWidth="9.36328125" defaultRowHeight="15" customHeight="true" zeroHeight="false" outlineLevelRow="0" outlineLevelCol="0"/>
  <cols>
    <col collapsed="false" customWidth="true" hidden="false" outlineLevel="0" max="1" min="1" style="1" width="13.54"/>
    <col collapsed="false" customWidth="true" hidden="false" outlineLevel="0" max="2" min="2" style="1" width="10.45"/>
    <col collapsed="false" customWidth="true" hidden="false" outlineLevel="0" max="3" min="3" style="1" width="9"/>
    <col collapsed="false" customWidth="true" hidden="false" outlineLevel="0" max="4" min="4" style="1" width="5"/>
    <col collapsed="false" customWidth="true" hidden="false" outlineLevel="0" max="5" min="5" style="1" width="15.45"/>
    <col collapsed="false" customWidth="true" hidden="false" outlineLevel="0" max="6" min="6" style="1" width="16"/>
    <col collapsed="false" customWidth="true" hidden="false" outlineLevel="0" max="7" min="7" style="1" width="15.45"/>
    <col collapsed="false" customWidth="true" hidden="false" outlineLevel="0" max="8" min="8" style="1" width="6.36"/>
    <col collapsed="false" customWidth="true" hidden="false" outlineLevel="0" max="9" min="9" style="1" width="14.36"/>
    <col collapsed="false" customWidth="true" hidden="false" outlineLevel="0" max="10" min="10" style="1" width="20.54"/>
    <col collapsed="false" customWidth="false" hidden="false" outlineLevel="0" max="16384" min="11" style="1" width="9.36"/>
  </cols>
  <sheetData>
    <row r="1" s="2" customFormat="true" ht="15" hidden="false" customHeight="true" outlineLevel="0" collapsed="false">
      <c r="A1" s="15" t="s">
        <v>865</v>
      </c>
      <c r="B1" s="15" t="s">
        <v>790</v>
      </c>
      <c r="C1" s="15" t="s">
        <v>489</v>
      </c>
      <c r="D1" s="15" t="s">
        <v>948</v>
      </c>
      <c r="E1" s="15" t="s">
        <v>1617</v>
      </c>
      <c r="F1" s="15" t="s">
        <v>1618</v>
      </c>
      <c r="G1" s="15" t="s">
        <v>1619</v>
      </c>
      <c r="H1" s="15" t="s">
        <v>313</v>
      </c>
      <c r="I1" s="15" t="s">
        <v>1620</v>
      </c>
      <c r="J1" s="15" t="s">
        <v>1621</v>
      </c>
    </row>
  </sheetData>
  <dataValidations count="1">
    <dataValidation allowBlank="true" errorStyle="stop" operator="between" showDropDown="false" showErrorMessage="true" showInputMessage="true" sqref="C2:C1001" type="list">
      <formula1>Enums!$M$43:$M$44</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0" sqref="B2"/>
    </sheetView>
  </sheetViews>
  <sheetFormatPr defaultColWidth="8.6796875" defaultRowHeight="14.25" customHeight="false" zeroHeight="false" outlineLevelRow="0" outlineLevelCol="0"/>
  <cols>
    <col collapsed="false" customWidth="true" hidden="false" outlineLevel="0" max="1" min="1" style="0" width="5.54"/>
    <col collapsed="false" customWidth="true" hidden="false" outlineLevel="0" max="2" min="2" style="0" width="11.36"/>
    <col collapsed="false" customWidth="true" hidden="false" outlineLevel="0" max="4" min="4" style="0" width="19.54"/>
    <col collapsed="false" customWidth="true" hidden="false" outlineLevel="0" max="5" min="5" style="0" width="18.36"/>
  </cols>
  <sheetData>
    <row r="1" customFormat="false" ht="14.25" hidden="false" customHeight="false" outlineLevel="0" collapsed="false">
      <c r="A1" s="15" t="s">
        <v>1622</v>
      </c>
      <c r="B1" s="15" t="s">
        <v>2</v>
      </c>
      <c r="C1" s="15" t="s">
        <v>1623</v>
      </c>
      <c r="D1" s="15" t="s">
        <v>519</v>
      </c>
      <c r="E1" s="15" t="s">
        <v>1624</v>
      </c>
    </row>
  </sheetData>
  <dataValidations count="3">
    <dataValidation allowBlank="true" error="Whole Numbers Only &gt; 0" errorStyle="stop" operator="greaterThanOrEqual" showDropDown="false" showErrorMessage="true" showInputMessage="true" sqref="C2:C1001" type="whole">
      <formula1>0</formula1>
      <formula2>0</formula2>
    </dataValidation>
    <dataValidation allowBlank="true" errorStyle="stop" operator="greaterThanOrEqual" showDropDown="false" showErrorMessage="true" showInputMessage="true" sqref="D2:D1001" type="list">
      <formula1>Enums!$AE$41:$AE$47</formula1>
      <formula2>0</formula2>
    </dataValidation>
    <dataValidation allowBlank="true" errorStyle="stop" operator="greaterThanOrEqual" showDropDown="false" showErrorMessage="true" showInputMessage="true" sqref="E2:E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22" activeCellId="0" sqref="D22"/>
    </sheetView>
  </sheetViews>
  <sheetFormatPr defaultColWidth="9.36328125" defaultRowHeight="15" customHeight="true" zeroHeight="false" outlineLevelRow="0" outlineLevelCol="0"/>
  <cols>
    <col collapsed="false" customWidth="true" hidden="false" outlineLevel="0" max="1" min="1" style="35" width="21"/>
    <col collapsed="false" customWidth="true" hidden="false" outlineLevel="0" max="2" min="2" style="35" width="8.54"/>
    <col collapsed="false" customWidth="true" hidden="false" outlineLevel="0" max="3" min="3" style="35" width="45.54"/>
    <col collapsed="false" customWidth="true" hidden="false" outlineLevel="0" max="4" min="4" style="35" width="9"/>
    <col collapsed="false" customWidth="true" hidden="false" outlineLevel="0" max="5" min="5" style="35" width="10.63"/>
    <col collapsed="false" customWidth="true" hidden="false" outlineLevel="0" max="6" min="6" style="35" width="32"/>
    <col collapsed="false" customWidth="true" hidden="false" outlineLevel="0" max="8" min="7" style="35" width="18"/>
    <col collapsed="false" customWidth="true" hidden="false" outlineLevel="0" max="9" min="9" style="35" width="13.54"/>
    <col collapsed="false" customWidth="true" hidden="false" outlineLevel="0" max="10" min="10" style="35" width="12.45"/>
    <col collapsed="false" customWidth="true" hidden="false" outlineLevel="0" max="11" min="11" style="35" width="19.54"/>
    <col collapsed="false" customWidth="true" hidden="false" outlineLevel="0" max="12" min="12" style="35" width="20"/>
    <col collapsed="false" customWidth="true" hidden="false" outlineLevel="0" max="13" min="13" style="35" width="12"/>
    <col collapsed="false" customWidth="true" hidden="false" outlineLevel="0" max="14" min="14" style="35" width="8.54"/>
    <col collapsed="false" customWidth="true" hidden="false" outlineLevel="0" max="15" min="15" style="35" width="12.63"/>
    <col collapsed="false" customWidth="true" hidden="false" outlineLevel="0" max="16" min="16" style="35" width="23.54"/>
    <col collapsed="false" customWidth="true" hidden="false" outlineLevel="0" max="17" min="17" style="35" width="8.63"/>
    <col collapsed="false" customWidth="true" hidden="false" outlineLevel="0" max="18" min="18" style="35" width="19.54"/>
    <col collapsed="false" customWidth="true" hidden="false" outlineLevel="0" max="19" min="19" style="35" width="9.54"/>
    <col collapsed="false" customWidth="true" hidden="false" outlineLevel="0" max="20" min="20" style="35" width="9.45"/>
    <col collapsed="false" customWidth="true" hidden="false" outlineLevel="0" max="21" min="21" style="35" width="9.54"/>
    <col collapsed="false" customWidth="true" hidden="false" outlineLevel="0" max="22" min="22" style="35" width="16.54"/>
    <col collapsed="false" customWidth="true" hidden="false" outlineLevel="0" max="23" min="23" style="35" width="17"/>
    <col collapsed="false" customWidth="true" hidden="false" outlineLevel="0" max="24" min="24" style="35" width="13.36"/>
    <col collapsed="false" customWidth="true" hidden="false" outlineLevel="0" max="25" min="25" style="35" width="22.45"/>
    <col collapsed="false" customWidth="true" hidden="false" outlineLevel="0" max="26" min="26" style="35" width="26"/>
    <col collapsed="false" customWidth="true" hidden="false" outlineLevel="0" max="27" min="27" style="35" width="41.54"/>
    <col collapsed="false" customWidth="true" hidden="false" outlineLevel="0" max="28" min="28" style="35" width="14"/>
    <col collapsed="false" customWidth="true" hidden="false" outlineLevel="0" max="29" min="29" style="35" width="16.45"/>
    <col collapsed="false" customWidth="true" hidden="false" outlineLevel="0" max="30" min="30" style="35" width="10.36"/>
    <col collapsed="false" customWidth="true" hidden="false" outlineLevel="0" max="31" min="31" style="35" width="5.54"/>
    <col collapsed="false" customWidth="true" hidden="false" outlineLevel="0" max="32" min="32" style="35" width="21.36"/>
    <col collapsed="false" customWidth="true" hidden="false" outlineLevel="0" max="33" min="33" style="35" width="21.54"/>
    <col collapsed="false" customWidth="true" hidden="false" outlineLevel="0" max="34" min="34" style="35" width="17.54"/>
    <col collapsed="false" customWidth="true" hidden="false" outlineLevel="0" max="35" min="35" style="35" width="20.63"/>
    <col collapsed="false" customWidth="true" hidden="false" outlineLevel="0" max="36" min="36" style="35" width="16.36"/>
    <col collapsed="false" customWidth="true" hidden="false" outlineLevel="0" max="37" min="37" style="35" width="28"/>
    <col collapsed="false" customWidth="true" hidden="false" outlineLevel="0" max="38" min="38" style="35" width="17.54"/>
    <col collapsed="false" customWidth="true" hidden="false" outlineLevel="0" max="39" min="39" style="35" width="38.54"/>
    <col collapsed="false" customWidth="true" hidden="false" outlineLevel="0" max="40" min="40" style="35" width="17.63"/>
    <col collapsed="false" customWidth="true" hidden="false" outlineLevel="0" max="41" min="41" style="35" width="30.54"/>
    <col collapsed="false" customWidth="true" hidden="false" outlineLevel="0" max="42" min="42" style="35" width="21.54"/>
    <col collapsed="false" customWidth="true" hidden="false" outlineLevel="0" max="44" min="43" style="35" width="29.63"/>
    <col collapsed="false" customWidth="true" hidden="false" outlineLevel="0" max="45" min="45" style="35" width="30.63"/>
    <col collapsed="false" customWidth="true" hidden="false" outlineLevel="0" max="46" min="46" style="35" width="31.36"/>
    <col collapsed="false" customWidth="true" hidden="false" outlineLevel="0" max="47" min="47" style="35" width="22.54"/>
    <col collapsed="false" customWidth="true" hidden="false" outlineLevel="0" max="48" min="48" style="35" width="25"/>
    <col collapsed="false" customWidth="true" hidden="false" outlineLevel="0" max="49" min="49" style="35" width="28.36"/>
    <col collapsed="false" customWidth="true" hidden="false" outlineLevel="0" max="50" min="50" style="35" width="26.36"/>
    <col collapsed="false" customWidth="true" hidden="false" outlineLevel="0" max="51" min="51" style="35" width="25.45"/>
    <col collapsed="false" customWidth="true" hidden="false" outlineLevel="0" max="52" min="52" style="35" width="26.36"/>
    <col collapsed="false" customWidth="true" hidden="false" outlineLevel="0" max="53" min="53" style="35" width="24.63"/>
    <col collapsed="false" customWidth="true" hidden="false" outlineLevel="0" max="54" min="54" style="35" width="30.63"/>
    <col collapsed="false" customWidth="true" hidden="false" outlineLevel="0" max="55" min="55" style="35" width="19.36"/>
    <col collapsed="false" customWidth="true" hidden="false" outlineLevel="0" max="56" min="56" style="35" width="21.54"/>
    <col collapsed="false" customWidth="true" hidden="false" outlineLevel="0" max="57" min="57" style="0" width="15.54"/>
    <col collapsed="false" customWidth="true" hidden="false" outlineLevel="0" max="58" min="58" style="35" width="15.54"/>
    <col collapsed="false" customWidth="true" hidden="false" outlineLevel="0" max="59" min="59" style="0" width="11.45"/>
    <col collapsed="false" customWidth="true" hidden="false" outlineLevel="0" max="60" min="60" style="35" width="24.63"/>
    <col collapsed="false" customWidth="true" hidden="false" outlineLevel="0" max="61" min="61" style="35" width="14.45"/>
    <col collapsed="false" customWidth="true" hidden="false" outlineLevel="0" max="62" min="62" style="0" width="31.54"/>
    <col collapsed="false" customWidth="true" hidden="false" outlineLevel="0" max="63" min="63" style="0" width="12.63"/>
    <col collapsed="false" customWidth="true" hidden="false" outlineLevel="0" max="65" min="64" style="35" width="15.45"/>
    <col collapsed="false" customWidth="true" hidden="false" outlineLevel="0" max="66" min="66" style="35" width="28.45"/>
    <col collapsed="false" customWidth="true" hidden="false" outlineLevel="0" max="67" min="67" style="0" width="26.36"/>
    <col collapsed="false" customWidth="true" hidden="false" outlineLevel="0" max="68" min="68" style="0" width="19.45"/>
    <col collapsed="false" customWidth="true" hidden="false" outlineLevel="0" max="69" min="69" style="0" width="20.36"/>
    <col collapsed="false" customWidth="true" hidden="false" outlineLevel="0" max="70" min="70" style="0" width="16.54"/>
    <col collapsed="false" customWidth="true" hidden="false" outlineLevel="0" max="71" min="71" style="35" width="27.45"/>
    <col collapsed="false" customWidth="true" hidden="false" outlineLevel="0" max="72" min="72" style="0" width="23"/>
    <col collapsed="false" customWidth="true" hidden="false" outlineLevel="0" max="73" min="73" style="0" width="24.45"/>
    <col collapsed="false" customWidth="true" hidden="false" outlineLevel="0" max="74" min="74" style="0" width="25.36"/>
    <col collapsed="false" customWidth="true" hidden="false" outlineLevel="0" max="76" min="75" style="0" width="8.54"/>
    <col collapsed="false" customWidth="true" hidden="false" outlineLevel="0" max="77" min="77" style="35" width="29.54"/>
    <col collapsed="false" customWidth="true" hidden="false" outlineLevel="0" max="78" min="78" style="0" width="26.54"/>
    <col collapsed="false" customWidth="true" hidden="false" outlineLevel="0" max="81" min="79" style="35" width="29.54"/>
    <col collapsed="false" customWidth="true" hidden="false" outlineLevel="0" max="82" min="82" style="0" width="8.54"/>
    <col collapsed="false" customWidth="true" hidden="false" outlineLevel="0" max="83" min="83" style="35" width="17.54"/>
    <col collapsed="false" customWidth="true" hidden="false" outlineLevel="0" max="84" min="84" style="35" width="29.54"/>
    <col collapsed="false" customWidth="true" hidden="false" outlineLevel="0" max="86" min="85" style="35" width="17.54"/>
    <col collapsed="false" customWidth="true" hidden="false" outlineLevel="0" max="87" min="87" style="35" width="29.54"/>
    <col collapsed="false" customWidth="true" hidden="false" outlineLevel="0" max="88" min="88" style="35" width="17.54"/>
    <col collapsed="false" customWidth="true" hidden="false" outlineLevel="0" max="89" min="89" style="35" width="17.45"/>
    <col collapsed="false" customWidth="true" hidden="false" outlineLevel="0" max="90" min="90" style="35" width="21.36"/>
    <col collapsed="false" customWidth="true" hidden="false" outlineLevel="0" max="91" min="91" style="35" width="29"/>
    <col collapsed="false" customWidth="true" hidden="false" outlineLevel="0" max="92" min="92" style="35" width="32"/>
    <col collapsed="false" customWidth="true" hidden="false" outlineLevel="0" max="93" min="93" style="35" width="20"/>
    <col collapsed="false" customWidth="true" hidden="false" outlineLevel="0" max="94" min="94" style="35" width="32"/>
    <col collapsed="false" customWidth="true" hidden="false" outlineLevel="0" max="95" min="95" style="35" width="20"/>
    <col collapsed="false" customWidth="true" hidden="false" outlineLevel="0" max="96" min="96" style="35" width="32"/>
    <col collapsed="false" customWidth="true" hidden="false" outlineLevel="0" max="98" min="97" style="35" width="20"/>
    <col collapsed="false" customWidth="true" hidden="false" outlineLevel="0" max="99" min="99" style="35" width="29"/>
    <col collapsed="false" customWidth="true" hidden="false" outlineLevel="0" max="100" min="100" style="35" width="32"/>
    <col collapsed="false" customWidth="true" hidden="false" outlineLevel="0" max="101" min="101" style="35" width="20"/>
    <col collapsed="false" customWidth="false" hidden="false" outlineLevel="0" max="16384" min="102" style="35" width="9.36"/>
  </cols>
  <sheetData>
    <row r="1" s="30" customFormat="true" ht="15" hidden="false" customHeight="true" outlineLevel="0" collapsed="false">
      <c r="A1" s="15" t="s">
        <v>1011</v>
      </c>
      <c r="B1" s="15" t="s">
        <v>1294</v>
      </c>
      <c r="C1" s="15" t="s">
        <v>2</v>
      </c>
      <c r="D1" s="15" t="s">
        <v>489</v>
      </c>
      <c r="E1" s="15" t="s">
        <v>1506</v>
      </c>
      <c r="F1" s="15" t="s">
        <v>1251</v>
      </c>
      <c r="G1" s="15" t="s">
        <v>1085</v>
      </c>
      <c r="H1" s="15" t="s">
        <v>422</v>
      </c>
      <c r="I1" s="15" t="s">
        <v>865</v>
      </c>
      <c r="J1" s="15" t="s">
        <v>1616</v>
      </c>
      <c r="K1" s="15" t="s">
        <v>1625</v>
      </c>
      <c r="L1" s="15" t="s">
        <v>1626</v>
      </c>
      <c r="M1" s="15" t="s">
        <v>1627</v>
      </c>
      <c r="N1" s="15" t="s">
        <v>1552</v>
      </c>
      <c r="O1" s="15" t="s">
        <v>1628</v>
      </c>
      <c r="P1" s="15" t="s">
        <v>1629</v>
      </c>
      <c r="Q1" s="15" t="s">
        <v>1623</v>
      </c>
      <c r="R1" s="15" t="s">
        <v>519</v>
      </c>
      <c r="S1" s="15" t="s">
        <v>1189</v>
      </c>
      <c r="T1" s="15" t="s">
        <v>1630</v>
      </c>
      <c r="U1" s="15" t="s">
        <v>1631</v>
      </c>
      <c r="V1" s="15" t="s">
        <v>1632</v>
      </c>
      <c r="W1" s="15" t="s">
        <v>1633</v>
      </c>
      <c r="X1" s="15" t="s">
        <v>1284</v>
      </c>
      <c r="Y1" s="41" t="s">
        <v>272</v>
      </c>
      <c r="Z1" s="15" t="s">
        <v>275</v>
      </c>
      <c r="AA1" s="41" t="s">
        <v>1634</v>
      </c>
      <c r="AB1" s="15" t="s">
        <v>1635</v>
      </c>
      <c r="AC1" s="15" t="s">
        <v>1636</v>
      </c>
      <c r="AD1" s="41" t="s">
        <v>1637</v>
      </c>
      <c r="AE1" s="41" t="s">
        <v>1638</v>
      </c>
      <c r="AF1" s="41" t="s">
        <v>1639</v>
      </c>
      <c r="AG1" s="41" t="s">
        <v>1640</v>
      </c>
      <c r="AH1" s="15" t="s">
        <v>1556</v>
      </c>
      <c r="AI1" s="15" t="s">
        <v>1641</v>
      </c>
      <c r="AJ1" s="49" t="s">
        <v>879</v>
      </c>
      <c r="AK1" s="41" t="s">
        <v>1642</v>
      </c>
      <c r="AL1" s="41" t="s">
        <v>1643</v>
      </c>
      <c r="AM1" s="41" t="s">
        <v>1644</v>
      </c>
      <c r="AN1" s="41" t="s">
        <v>1645</v>
      </c>
      <c r="AO1" s="41" t="s">
        <v>1646</v>
      </c>
      <c r="AP1" s="15" t="s">
        <v>1647</v>
      </c>
      <c r="AQ1" s="15" t="s">
        <v>1648</v>
      </c>
      <c r="AR1" s="15" t="s">
        <v>1649</v>
      </c>
      <c r="AS1" s="15" t="s">
        <v>1650</v>
      </c>
      <c r="AT1" s="15" t="s">
        <v>1651</v>
      </c>
      <c r="AU1" s="41" t="s">
        <v>1652</v>
      </c>
      <c r="AV1" s="41" t="s">
        <v>1653</v>
      </c>
      <c r="AW1" s="41" t="s">
        <v>1654</v>
      </c>
      <c r="AX1" s="41" t="s">
        <v>1655</v>
      </c>
      <c r="AY1" s="41" t="s">
        <v>1656</v>
      </c>
      <c r="AZ1" s="41" t="s">
        <v>1657</v>
      </c>
      <c r="BA1" s="41" t="s">
        <v>1658</v>
      </c>
      <c r="BB1" s="41" t="s">
        <v>1659</v>
      </c>
      <c r="BC1" s="41" t="s">
        <v>1660</v>
      </c>
      <c r="BD1" s="41" t="s">
        <v>1661</v>
      </c>
      <c r="BE1" s="41" t="s">
        <v>1662</v>
      </c>
      <c r="BF1" s="41" t="s">
        <v>1663</v>
      </c>
      <c r="BG1" s="41" t="s">
        <v>1664</v>
      </c>
      <c r="BH1" s="41" t="s">
        <v>1665</v>
      </c>
      <c r="BI1" s="41" t="s">
        <v>1666</v>
      </c>
      <c r="BJ1" s="41" t="s">
        <v>1667</v>
      </c>
      <c r="BK1" s="41" t="s">
        <v>1668</v>
      </c>
      <c r="BL1" s="41" t="s">
        <v>1669</v>
      </c>
      <c r="BM1" s="41" t="s">
        <v>1670</v>
      </c>
      <c r="BN1" s="41" t="s">
        <v>1671</v>
      </c>
      <c r="BO1" s="41" t="s">
        <v>1672</v>
      </c>
      <c r="BP1" s="41" t="s">
        <v>1673</v>
      </c>
      <c r="BQ1" s="41" t="s">
        <v>1674</v>
      </c>
      <c r="BR1" s="41" t="s">
        <v>1675</v>
      </c>
      <c r="BS1" s="41" t="s">
        <v>1676</v>
      </c>
      <c r="BT1" s="41" t="s">
        <v>1677</v>
      </c>
      <c r="BU1" s="41" t="s">
        <v>1678</v>
      </c>
      <c r="BV1" s="41" t="s">
        <v>1679</v>
      </c>
    </row>
  </sheetData>
  <autoFilter ref="A1:CW6"/>
  <conditionalFormatting sqref="A3">
    <cfRule type="duplicateValues" priority="2" aboveAverage="0" equalAverage="0" bottom="0" percent="0" rank="0" text="" dxfId="89"/>
  </conditionalFormatting>
  <conditionalFormatting sqref="C3">
    <cfRule type="duplicateValues" priority="3" aboveAverage="0" equalAverage="0" bottom="0" percent="0" rank="0" text="" dxfId="90"/>
  </conditionalFormatting>
  <conditionalFormatting sqref="C7">
    <cfRule type="duplicateValues" priority="4" aboveAverage="0" equalAverage="0" bottom="0" percent="0" rank="0" text="" dxfId="91"/>
  </conditionalFormatting>
  <conditionalFormatting sqref="A7">
    <cfRule type="duplicateValues" priority="5" aboveAverage="0" equalAverage="0" bottom="0" percent="0" rank="0" text="" dxfId="92"/>
  </conditionalFormatting>
  <conditionalFormatting sqref="C8:C1048576 C1">
    <cfRule type="duplicateValues" priority="6" aboveAverage="0" equalAverage="0" bottom="0" percent="0" rank="0" text="" dxfId="93"/>
  </conditionalFormatting>
  <conditionalFormatting sqref="A8:A1048576 A1">
    <cfRule type="duplicateValues" priority="7" aboveAverage="0" equalAverage="0" bottom="0" percent="0" rank="0" text="" dxfId="94"/>
  </conditionalFormatting>
  <dataValidations count="18">
    <dataValidation allowBlank="true" errorStyle="stop" operator="greaterThanOrEqual" showDropDown="false" showErrorMessage="true" showInputMessage="true" sqref="A1:AD1 AF1:AI2 AK1:XFD2 E2:G2 M2:AD2 C3:H3 J3:L3 E4:G6 M4:AD6 AF4:AI6 AK4:XFD6 B7 F7:G7" type="none">
      <formula1>0</formula1>
      <formula2>0</formula2>
    </dataValidation>
    <dataValidation allowBlank="true" error="Numbers Only. &gt;=0" errorStyle="stop" operator="greaterThanOrEqual" showDropDown="false" showErrorMessage="true" showInputMessage="true" sqref="AB3:AC3 AB7:AC1001" type="decimal">
      <formula1>0</formula1>
      <formula2>0</formula2>
    </dataValidation>
    <dataValidation allowBlank="true" error="Only Numbers &gt;=0" errorStyle="stop" operator="greaterThanOrEqual" showDropDown="false" showErrorMessage="true" showInputMessage="true" sqref="AD3 AF3:AG3 AS3 AD7:AD1001 AF7:AG1001 AS7:AS1001" type="decimal">
      <formula1>0</formula1>
      <formula2>0</formula2>
    </dataValidation>
    <dataValidation allowBlank="true" error="Only Numbers &gt;=1" errorStyle="stop" operator="greaterThanOrEqual" showDropDown="false" showErrorMessage="true" showInputMessage="true" sqref="AT3 AT7:AT1001" type="decimal">
      <formula1>1</formula1>
      <formula2>0</formula2>
    </dataValidation>
    <dataValidation allowBlank="true" error="Whole Numbers Only" errorStyle="stop" operator="greaterThanOrEqual" showDropDown="false" showErrorMessage="true" showInputMessage="true" sqref="Q3 Q7:Q1001" type="whole">
      <formula1>0</formula1>
      <formula2>0</formula2>
    </dataValidation>
    <dataValidation allowBlank="true" error="Numbers Only" errorStyle="stop" operator="greaterThanOrEqual" showDropDown="false" showErrorMessage="true" showInputMessage="true" sqref="AM3:AO3 AM7:AO1001" type="decimal">
      <formula1>0</formula1>
      <formula2>0</formula2>
    </dataValidation>
    <dataValidation allowBlank="true" errorStyle="stop" operator="between" showDropDown="false" showErrorMessage="true" showInputMessage="true" sqref="AE3 AE7:AE1001" type="decimal">
      <formula1>1</formula1>
      <formula2>100</formula2>
    </dataValidation>
    <dataValidation allowBlank="true" errorStyle="stop" operator="between" showDropDown="false" showErrorMessage="true" showInputMessage="true" sqref="S7:W1001 AA7:AA1001 AH7:AI1001 AK7:AL1001 AY7:BV943 BY7:BY1001 CA7:CC1001 CE7:CK1001 E8:E1001 AY944:BS1001" type="list">
      <formula1>Enums!$A$34:$A$35</formula1>
      <formula2>0</formula2>
    </dataValidation>
    <dataValidation allowBlank="true" errorStyle="stop" operator="between" showDropDown="false" showErrorMessage="true" showInputMessage="true" sqref="R7:R1001" type="list">
      <formula1>Enums!$AE$41:$AE$47</formula1>
      <formula2>0</formula2>
    </dataValidation>
    <dataValidation allowBlank="true" errorStyle="stop" operator="between" showDropDown="false" showErrorMessage="true" showInputMessage="true" sqref="AP7:AP1001" type="list">
      <formula1>Enums!$M$47:$M$51</formula1>
      <formula2>0</formula2>
    </dataValidation>
    <dataValidation allowBlank="true" errorStyle="stop" operator="between" showDropDown="false" showErrorMessage="true" showInputMessage="true" sqref="AQ7:AQ1001" type="list">
      <formula1>Enums!$M$54:$M$55</formula1>
      <formula2>0</formula2>
    </dataValidation>
    <dataValidation allowBlank="true" errorStyle="stop" operator="between" showDropDown="false" showErrorMessage="true" showInputMessage="true" sqref="AR7:AR1001" type="list">
      <formula1>Enums!$M$58:$M$61</formula1>
      <formula2>0</formula2>
    </dataValidation>
    <dataValidation allowBlank="true" errorStyle="stop" operator="between" showDropDown="false" showErrorMessage="true" showInputMessage="true" sqref="AU7:AU1001" type="list">
      <formula1>Enums!$M$64:$M$68</formula1>
      <formula2>0</formula2>
    </dataValidation>
    <dataValidation allowBlank="true" errorStyle="stop" operator="between" showDropDown="false" showErrorMessage="true" showInputMessage="true" sqref="AV7:AV1001" type="list">
      <formula1>Enums!$M$71:$M$75</formula1>
      <formula2>0</formula2>
    </dataValidation>
    <dataValidation allowBlank="true" errorStyle="stop" operator="between" showDropDown="false" showErrorMessage="true" showInputMessage="true" sqref="AW7:AW1001" type="list">
      <formula1>Enums!$M$78:$M$82</formula1>
      <formula2>0</formula2>
    </dataValidation>
    <dataValidation allowBlank="true" errorStyle="stop" operator="between" showDropDown="false" showErrorMessage="true" showInputMessage="true" sqref="AX7:AX1001" type="list">
      <formula1>Enums!$M$85:$M$90</formula1>
      <formula2>0</formula2>
    </dataValidation>
    <dataValidation allowBlank="true" errorStyle="stop" operator="between" showDropDown="false" showErrorMessage="true" showInputMessage="true" sqref="H7:H1001" type="list">
      <formula1>Enums!$AE$34:$AE$38</formula1>
      <formula2>0</formula2>
    </dataValidation>
    <dataValidation allowBlank="true" errorStyle="stop" operator="between" showDropDown="false" showErrorMessage="true" showInputMessage="true" sqref="AJ7:AJ1001" type="list">
      <formula1>Enums!$AM$72:$AM$73</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8.6328125" defaultRowHeight="15" customHeight="true" zeroHeight="false" outlineLevelRow="0" outlineLevelCol="0"/>
  <cols>
    <col collapsed="false" customWidth="true" hidden="false" outlineLevel="0" max="1" min="1" style="0" width="7.63"/>
    <col collapsed="false" customWidth="true" hidden="false" outlineLevel="0" max="2" min="2" style="0" width="10.45"/>
    <col collapsed="false" customWidth="true" hidden="false" outlineLevel="0" max="3" min="3" style="0" width="5.45"/>
    <col collapsed="false" customWidth="true" hidden="false" outlineLevel="0" max="4" min="4" style="0" width="5"/>
    <col collapsed="false" customWidth="true" hidden="false" outlineLevel="0" max="5" min="5" style="0" width="15.45"/>
    <col collapsed="false" customWidth="true" hidden="false" outlineLevel="0" max="6" min="6" style="0" width="16"/>
    <col collapsed="false" customWidth="true" hidden="false" outlineLevel="0" max="7" min="7" style="0" width="15.45"/>
    <col collapsed="false" customWidth="true" hidden="false" outlineLevel="0" max="8" min="8" style="0" width="6.36"/>
    <col collapsed="false" customWidth="true" hidden="false" outlineLevel="0" max="9" min="9" style="0" width="14.36"/>
    <col collapsed="false" customWidth="true" hidden="false" outlineLevel="0" max="10" min="10" style="0" width="20.54"/>
    <col collapsed="false" customWidth="true" hidden="false" outlineLevel="0" max="11" min="11" style="0" width="22.63"/>
  </cols>
  <sheetData>
    <row r="1" s="42" customFormat="true" ht="15.75" hidden="false" customHeight="true" outlineLevel="0" collapsed="false">
      <c r="A1" s="15" t="s">
        <v>644</v>
      </c>
      <c r="B1" s="15" t="s">
        <v>790</v>
      </c>
      <c r="C1" s="15" t="s">
        <v>489</v>
      </c>
      <c r="D1" s="15" t="s">
        <v>948</v>
      </c>
      <c r="E1" s="15" t="s">
        <v>1617</v>
      </c>
      <c r="F1" s="15" t="s">
        <v>1618</v>
      </c>
      <c r="G1" s="15" t="s">
        <v>1619</v>
      </c>
      <c r="H1" s="15" t="s">
        <v>313</v>
      </c>
      <c r="I1" s="15" t="s">
        <v>1620</v>
      </c>
      <c r="J1" s="15" t="s">
        <v>1621</v>
      </c>
    </row>
  </sheetData>
  <dataValidations count="1">
    <dataValidation allowBlank="true" errorStyle="stop" operator="between" showDropDown="false" showErrorMessage="true" showInputMessage="true" sqref="C2:C1001" type="list">
      <formula1>Enums!$M$43:$M$44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8.6328125" defaultRowHeight="15" customHeight="true" zeroHeight="false" outlineLevelRow="0" outlineLevelCol="0"/>
  <cols>
    <col collapsed="false" customWidth="true" hidden="false" outlineLevel="0" max="1" min="1" style="0" width="7.63"/>
    <col collapsed="false" customWidth="true" hidden="false" outlineLevel="0" max="2" min="2" style="0" width="15.45"/>
    <col collapsed="false" customWidth="true" hidden="false" outlineLevel="0" max="3" min="3" style="0" width="6.45"/>
    <col collapsed="false" customWidth="true" hidden="false" outlineLevel="0" max="4" min="4" style="0" width="12"/>
    <col collapsed="false" customWidth="true" hidden="false" outlineLevel="0" max="5" min="5" style="0" width="23.54"/>
    <col collapsed="false" customWidth="true" hidden="false" outlineLevel="0" max="6" min="6" style="0" width="8.63"/>
    <col collapsed="false" customWidth="true" hidden="false" outlineLevel="0" max="7" min="7" style="0" width="19.54"/>
    <col collapsed="false" customWidth="true" hidden="false" outlineLevel="0" max="8" min="8" style="0" width="12.63"/>
    <col collapsed="false" customWidth="true" hidden="false" outlineLevel="0" max="9" min="9" style="0" width="16.54"/>
    <col collapsed="false" customWidth="true" hidden="false" outlineLevel="0" max="10" min="10" style="0" width="5.54"/>
    <col collapsed="false" customWidth="true" hidden="false" outlineLevel="0" max="11" min="11" style="0" width="22.63"/>
  </cols>
  <sheetData>
    <row r="1" s="42" customFormat="true" ht="15.75" hidden="false" customHeight="true" outlineLevel="0" collapsed="false">
      <c r="A1" s="15" t="s">
        <v>644</v>
      </c>
      <c r="B1" s="15" t="s">
        <v>1680</v>
      </c>
      <c r="C1" s="15" t="s">
        <v>1277</v>
      </c>
      <c r="D1" s="15" t="s">
        <v>1681</v>
      </c>
      <c r="E1" s="15" t="s">
        <v>1629</v>
      </c>
      <c r="F1" s="15" t="s">
        <v>1623</v>
      </c>
      <c r="G1" s="15" t="s">
        <v>519</v>
      </c>
      <c r="H1" s="15" t="s">
        <v>1628</v>
      </c>
      <c r="I1" s="15" t="s">
        <v>1682</v>
      </c>
      <c r="J1" s="15" t="s">
        <v>1683</v>
      </c>
    </row>
  </sheetData>
  <dataValidations count="4">
    <dataValidation allowBlank="true" error="Whole Numbers Only" errorStyle="stop" operator="greaterThanOrEqual" showDropDown="false" showErrorMessage="true" showInputMessage="true" sqref="F2:F1001" type="whole">
      <formula1>0</formula1>
      <formula2>0</formula2>
    </dataValidation>
    <dataValidation allowBlank="true" error="Numbers Only" errorStyle="stop" operator="greaterThanOrEqual" showDropDown="false" showErrorMessage="true" showInputMessage="true" sqref="I2:I1001" type="decimal">
      <formula1>0</formula1>
      <formula2>0</formula2>
    </dataValidation>
    <dataValidation allowBlank="true" error="Whole Numbers Only. &gt; 0" errorStyle="stop" operator="greaterThan" showDropDown="false" showErrorMessage="true" showInputMessage="true" sqref="C2:C1001" type="whole">
      <formula1>0</formula1>
      <formula2>0</formula2>
    </dataValidation>
    <dataValidation allowBlank="true" errorStyle="stop" operator="between" showDropDown="false" showErrorMessage="true" showInputMessage="true" sqref="G2:G1001" type="list">
      <formula1>Enums!$AE$41:$AE$47</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5"/>
    <col collapsed="false" customWidth="true" hidden="false" outlineLevel="0" max="4" min="4" style="1" width="11.36"/>
    <col collapsed="false" customWidth="true" hidden="false" outlineLevel="0" max="5" min="5" style="1" width="8.36"/>
    <col collapsed="false" customWidth="true" hidden="false" outlineLevel="0" max="6" min="6" style="1" width="9.45"/>
    <col collapsed="false" customWidth="true" hidden="false" outlineLevel="0" max="7" min="7" style="1" width="11.36"/>
    <col collapsed="false" customWidth="true" hidden="false" outlineLevel="0" max="8" min="8" style="1" width="12.36"/>
    <col collapsed="false" customWidth="true" hidden="false" outlineLevel="0" max="9" min="9" style="1" width="11.54"/>
    <col collapsed="false" customWidth="true" hidden="false" outlineLevel="0" max="10" min="10" style="1" width="16.45"/>
    <col collapsed="false" customWidth="true" hidden="false" outlineLevel="0" max="11" min="11" style="1" width="18.54"/>
    <col collapsed="false" customWidth="true" hidden="false" outlineLevel="0" max="12" min="12" style="1" width="8.36"/>
    <col collapsed="false" customWidth="true" hidden="false" outlineLevel="0" max="13" min="13" style="1" width="12.63"/>
    <col collapsed="false" customWidth="true" hidden="false" outlineLevel="0" max="14" min="14" style="1" width="17.54"/>
    <col collapsed="false" customWidth="true" hidden="false" outlineLevel="0" max="15" min="15" style="1" width="16.36"/>
    <col collapsed="false" customWidth="true" hidden="false" outlineLevel="0" max="16" min="16" style="1" width="11.54"/>
    <col collapsed="false" customWidth="false" hidden="false" outlineLevel="0" max="16384" min="17" style="1" width="9.36"/>
  </cols>
  <sheetData>
    <row r="1" s="2" customFormat="true" ht="15" hidden="false" customHeight="true" outlineLevel="0" collapsed="false">
      <c r="A1" s="15" t="s">
        <v>1011</v>
      </c>
      <c r="B1" s="15" t="s">
        <v>2</v>
      </c>
      <c r="C1" s="15" t="s">
        <v>948</v>
      </c>
      <c r="D1" s="15" t="s">
        <v>1684</v>
      </c>
      <c r="E1" s="15" t="s">
        <v>1685</v>
      </c>
      <c r="F1" s="15" t="s">
        <v>1686</v>
      </c>
      <c r="G1" s="15" t="s">
        <v>1687</v>
      </c>
      <c r="H1" s="15" t="s">
        <v>1217</v>
      </c>
      <c r="I1" s="15" t="s">
        <v>1219</v>
      </c>
    </row>
  </sheetData>
  <dataValidations count="2">
    <dataValidation allowBlank="true" error="Whole Numbers Only" errorStyle="stop" operator="between" showDropDown="false" showErrorMessage="true" showInputMessage="true" sqref="D2:D1001" type="whole">
      <formula1>-9.99999999999999E+015</formula1>
      <formula2>9.99999999999999E+016</formula2>
    </dataValidation>
    <dataValidation allowBlank="true" errorStyle="stop" operator="between" showDropDown="false" showErrorMessage="true" showInputMessage="true" sqref="E2:E1001" type="list">
      <formula1>Enums!$M$93:$M$95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P34" activeCellId="0" sqref="P34"/>
    </sheetView>
  </sheetViews>
  <sheetFormatPr defaultColWidth="9.36328125" defaultRowHeight="15" customHeight="true" zeroHeight="false" outlineLevelRow="0" outlineLevelCol="0"/>
  <cols>
    <col collapsed="false" customWidth="true" hidden="false" outlineLevel="0" max="1" min="1" style="1" width="8.54"/>
    <col collapsed="false" customWidth="true" hidden="false" outlineLevel="0" max="2" min="2" style="1" width="11.45"/>
    <col collapsed="false" customWidth="true" hidden="false" outlineLevel="0" max="3" min="3" style="1" width="10.63"/>
    <col collapsed="false" customWidth="true" hidden="false" outlineLevel="0" max="4" min="4" style="1" width="10.54"/>
    <col collapsed="false" customWidth="true" hidden="false" outlineLevel="0" max="5" min="5" style="1" width="10.45"/>
    <col collapsed="false" customWidth="true" hidden="false" outlineLevel="0" max="6" min="6" style="1" width="19.36"/>
    <col collapsed="false" customWidth="true" hidden="false" outlineLevel="0" max="7" min="7" style="1" width="5.45"/>
    <col collapsed="false" customWidth="true" hidden="false" outlineLevel="0" max="8" min="8" style="1" width="10.36"/>
    <col collapsed="false" customWidth="true" hidden="false" outlineLevel="0" max="9" min="9" style="1" width="8.54"/>
    <col collapsed="false" customWidth="true" hidden="false" outlineLevel="0" max="10" min="10" style="1" width="4.54"/>
    <col collapsed="false" customWidth="true" hidden="false" outlineLevel="0" max="11" min="11" style="1" width="18.36"/>
    <col collapsed="false" customWidth="true" hidden="false" outlineLevel="0" max="12" min="12" style="1" width="7.36"/>
    <col collapsed="false" customWidth="true" hidden="false" outlineLevel="0" max="13" min="13" style="1" width="13.63"/>
    <col collapsed="false" customWidth="true" hidden="false" outlineLevel="0" max="14" min="14" style="1" width="9.45"/>
    <col collapsed="false" customWidth="true" hidden="false" outlineLevel="0" max="15" min="15" style="1" width="15.54"/>
    <col collapsed="false" customWidth="true" hidden="false" outlineLevel="0" max="16" min="16" style="1" width="12.63"/>
    <col collapsed="false" customWidth="true" hidden="false" outlineLevel="0" max="17" min="17" style="1" width="35.45"/>
    <col collapsed="false" customWidth="true" hidden="false" outlineLevel="0" max="18" min="18" style="1" width="34.36"/>
    <col collapsed="false" customWidth="false" hidden="false" outlineLevel="0" max="16384" min="19" style="1" width="9.36"/>
  </cols>
  <sheetData>
    <row r="1" customFormat="false" ht="15" hidden="false" customHeight="true" outlineLevel="0" collapsed="false">
      <c r="A1" s="15" t="s">
        <v>1011</v>
      </c>
      <c r="B1" s="15" t="s">
        <v>2</v>
      </c>
      <c r="C1" s="15" t="s">
        <v>1251</v>
      </c>
      <c r="D1" s="15" t="s">
        <v>1688</v>
      </c>
      <c r="E1" s="15" t="s">
        <v>1689</v>
      </c>
      <c r="F1" s="15" t="s">
        <v>1169</v>
      </c>
      <c r="G1" s="15" t="s">
        <v>490</v>
      </c>
      <c r="H1" s="15" t="s">
        <v>1172</v>
      </c>
      <c r="I1" s="15" t="s">
        <v>922</v>
      </c>
      <c r="J1" s="15" t="s">
        <v>1174</v>
      </c>
      <c r="K1" s="15" t="s">
        <v>1362</v>
      </c>
      <c r="L1" s="15" t="s">
        <v>979</v>
      </c>
      <c r="M1" s="15" t="s">
        <v>846</v>
      </c>
      <c r="N1" s="15" t="s">
        <v>889</v>
      </c>
      <c r="O1" s="15" t="s">
        <v>1404</v>
      </c>
      <c r="P1" s="15" t="s">
        <v>1405</v>
      </c>
      <c r="Q1" s="15" t="s">
        <v>936</v>
      </c>
      <c r="R1" s="15" t="s">
        <v>1690</v>
      </c>
    </row>
  </sheetData>
  <dataValidations count="4">
    <dataValidation allowBlank="true" errorStyle="stop" operator="between" showDropDown="false" showErrorMessage="true" showInputMessage="true" sqref="F2:F1001" type="list">
      <formula1>Enums!$AI$133:$AI$136</formula1>
      <formula2>0</formula2>
    </dataValidation>
    <dataValidation allowBlank="true" errorStyle="stop" operator="between" showDropDown="false" showErrorMessage="true" showInputMessage="true" sqref="M2:M1001" type="list">
      <formula1>Enums!$AK$69:$AK$70</formula1>
      <formula2>0</formula2>
    </dataValidation>
    <dataValidation allowBlank="true" errorStyle="stop" operator="between" showDropDown="false" showErrorMessage="true" showInputMessage="true" sqref="Q2:Q1001" type="list">
      <formula1>Enums!$AK$79:$AK$81</formula1>
      <formula2>0</formula2>
    </dataValidation>
    <dataValidation allowBlank="true" errorStyle="stop" operator="between" showDropDown="false" showErrorMessage="true" showInputMessage="true" sqref="N2:N1001" type="list">
      <formula1>Enums!$AK$73:$AK$76</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4" activeCellId="0" sqref="P34"/>
    </sheetView>
  </sheetViews>
  <sheetFormatPr defaultColWidth="9.36328125" defaultRowHeight="15" customHeight="true" zeroHeight="false" outlineLevelRow="0" outlineLevelCol="0"/>
  <cols>
    <col collapsed="false" customWidth="true" hidden="false" outlineLevel="0" max="1" min="1" style="1" width="10.54"/>
    <col collapsed="false" customWidth="true" hidden="false" outlineLevel="0" max="2" min="2" style="1" width="10.45"/>
    <col collapsed="false" customWidth="true" hidden="false" outlineLevel="0" max="3" min="3" style="1" width="19"/>
    <col collapsed="false" customWidth="false" hidden="false" outlineLevel="0" max="16384" min="4" style="1" width="9.36"/>
  </cols>
  <sheetData>
    <row r="1" customFormat="false" ht="15" hidden="false" customHeight="true" outlineLevel="0" collapsed="false">
      <c r="A1" s="15" t="s">
        <v>1691</v>
      </c>
      <c r="B1" s="15" t="s">
        <v>644</v>
      </c>
      <c r="C1" s="15" t="s">
        <v>865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4" activeCellId="0" sqref="P34"/>
    </sheetView>
  </sheetViews>
  <sheetFormatPr defaultColWidth="9.36328125" defaultRowHeight="15" customHeight="true" zeroHeight="false" outlineLevelRow="0" outlineLevelCol="0"/>
  <cols>
    <col collapsed="false" customWidth="true" hidden="false" outlineLevel="0" max="1" min="1" style="1" width="8.45"/>
    <col collapsed="false" customWidth="true" hidden="false" outlineLevel="0" max="2" min="2" style="1" width="12.54"/>
    <col collapsed="false" customWidth="true" hidden="false" outlineLevel="0" max="3" min="3" style="1" width="7.45"/>
    <col collapsed="false" customWidth="true" hidden="false" outlineLevel="0" max="4" min="4" style="1" width="15.54"/>
    <col collapsed="false" customWidth="false" hidden="false" outlineLevel="0" max="16384" min="5" style="1" width="9.36"/>
  </cols>
  <sheetData>
    <row r="1" customFormat="false" ht="15" hidden="false" customHeight="true" outlineLevel="0" collapsed="false">
      <c r="A1" s="15" t="s">
        <v>1691</v>
      </c>
      <c r="B1" s="15" t="s">
        <v>948</v>
      </c>
      <c r="C1" s="15" t="s">
        <v>922</v>
      </c>
      <c r="D1" s="15" t="s">
        <v>1692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4" activeCellId="0" sqref="P34"/>
    </sheetView>
  </sheetViews>
  <sheetFormatPr defaultColWidth="9.36328125" defaultRowHeight="15" customHeight="true" zeroHeight="false" outlineLevelRow="0" outlineLevelCol="0"/>
  <cols>
    <col collapsed="false" customWidth="true" hidden="false" outlineLevel="0" max="1" min="1" style="1" width="8.45"/>
    <col collapsed="false" customWidth="true" hidden="false" outlineLevel="0" max="2" min="2" style="1" width="12.63"/>
    <col collapsed="false" customWidth="false" hidden="false" outlineLevel="0" max="16384" min="3" style="1" width="9.36"/>
  </cols>
  <sheetData>
    <row r="1" customFormat="false" ht="15" hidden="false" customHeight="true" outlineLevel="0" collapsed="false">
      <c r="A1" s="15" t="s">
        <v>1691</v>
      </c>
      <c r="B1" s="15" t="s">
        <v>388</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4" activeCellId="0" sqref="P34"/>
    </sheetView>
  </sheetViews>
  <sheetFormatPr defaultColWidth="9.36328125" defaultRowHeight="15" customHeight="true" zeroHeight="false" outlineLevelRow="0" outlineLevelCol="0"/>
  <cols>
    <col collapsed="false" customWidth="true" hidden="false" outlineLevel="0" max="1" min="1" style="1" width="8.45"/>
    <col collapsed="false" customWidth="true" hidden="false" outlineLevel="0" max="2" min="2" style="1" width="15.54"/>
    <col collapsed="false" customWidth="true" hidden="false" outlineLevel="0" max="3" min="3" style="1" width="11.36"/>
    <col collapsed="false" customWidth="true" hidden="false" outlineLevel="0" max="4" min="4" style="1" width="7"/>
    <col collapsed="false" customWidth="true" hidden="false" outlineLevel="0" max="5" min="5" style="1" width="24.36"/>
    <col collapsed="false" customWidth="true" hidden="false" outlineLevel="0" max="6" min="6" style="1" width="11.54"/>
    <col collapsed="false" customWidth="true" hidden="false" outlineLevel="0" max="7" min="7" style="1" width="5.36"/>
    <col collapsed="false" customWidth="true" hidden="false" outlineLevel="0" max="8" min="8" style="1" width="11"/>
    <col collapsed="false" customWidth="true" hidden="false" outlineLevel="0" max="9" min="9" style="1" width="13.54"/>
    <col collapsed="false" customWidth="true" hidden="false" outlineLevel="0" max="10" min="10" style="1" width="15.45"/>
    <col collapsed="false" customWidth="false" hidden="false" outlineLevel="0" max="16384" min="11" style="1" width="9.36"/>
  </cols>
  <sheetData>
    <row r="1" customFormat="false" ht="15" hidden="false" customHeight="true" outlineLevel="0" collapsed="false">
      <c r="A1" s="15" t="s">
        <v>1691</v>
      </c>
      <c r="B1" s="15" t="s">
        <v>1693</v>
      </c>
      <c r="C1" s="15" t="s">
        <v>2</v>
      </c>
      <c r="D1" s="15" t="s">
        <v>377</v>
      </c>
      <c r="E1" s="15" t="s">
        <v>374</v>
      </c>
      <c r="F1" s="15" t="s">
        <v>370</v>
      </c>
      <c r="G1" s="15" t="s">
        <v>905</v>
      </c>
      <c r="H1" s="15" t="s">
        <v>644</v>
      </c>
      <c r="I1" s="15" t="s">
        <v>865</v>
      </c>
      <c r="J1" s="15" t="s">
        <v>1694</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P34" activeCellId="0" sqref="P34"/>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10.54"/>
    <col collapsed="false" customWidth="true" hidden="false" outlineLevel="0" max="4" min="4" style="1" width="10"/>
    <col collapsed="false" customWidth="true" hidden="false" outlineLevel="0" max="5" min="5" style="1" width="18.36"/>
    <col collapsed="false" customWidth="false" hidden="false" outlineLevel="0" max="16384" min="6" style="1" width="9.36"/>
  </cols>
  <sheetData>
    <row r="1" customFormat="false" ht="15" hidden="false" customHeight="true" outlineLevel="0" collapsed="false">
      <c r="A1" s="15" t="s">
        <v>1011</v>
      </c>
      <c r="B1" s="15" t="s">
        <v>2</v>
      </c>
      <c r="C1" s="15" t="s">
        <v>1251</v>
      </c>
      <c r="D1" s="15" t="s">
        <v>365</v>
      </c>
      <c r="E1" s="15" t="s">
        <v>1695</v>
      </c>
    </row>
  </sheetData>
  <dataValidations count="2">
    <dataValidation allowBlank="true" errorStyle="stop" operator="between" showDropDown="false" showErrorMessage="true" showInputMessage="true" sqref="D2:D1001" type="list">
      <formula1>Enums!$K$72:$K$75</formula1>
      <formula2>0</formula2>
    </dataValidation>
    <dataValidation allowBlank="true" errorStyle="stop" operator="between" showDropDown="false" showErrorMessage="true" showInputMessage="true" sqref="E2:E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4" activeCellId="0" sqref="P34"/>
    </sheetView>
  </sheetViews>
  <sheetFormatPr defaultColWidth="9.36328125" defaultRowHeight="15" customHeight="true" zeroHeight="false" outlineLevelRow="0" outlineLevelCol="0"/>
  <cols>
    <col collapsed="false" customWidth="true" hidden="false" outlineLevel="0" max="2" min="1" style="1" width="12"/>
    <col collapsed="false" customWidth="true" hidden="false" outlineLevel="0" max="3" min="3" style="1" width="9.54"/>
    <col collapsed="false" customWidth="true" hidden="false" outlineLevel="0" max="4" min="4" style="1" width="11.63"/>
    <col collapsed="false" customWidth="true" hidden="false" outlineLevel="0" max="5" min="5" style="1" width="6.36"/>
    <col collapsed="false" customWidth="false" hidden="false" outlineLevel="0" max="16384" min="6" style="1" width="9.36"/>
  </cols>
  <sheetData>
    <row r="1" customFormat="false" ht="15" hidden="false" customHeight="true" outlineLevel="0" collapsed="false">
      <c r="A1" s="15" t="s">
        <v>1696</v>
      </c>
      <c r="B1" s="15" t="s">
        <v>1697</v>
      </c>
      <c r="C1" s="15" t="s">
        <v>1698</v>
      </c>
      <c r="D1" s="15" t="s">
        <v>1699</v>
      </c>
      <c r="E1" s="15" t="s">
        <v>313</v>
      </c>
    </row>
  </sheetData>
  <dataValidations count="2">
    <dataValidation allowBlank="true" error="Numbers Only" errorStyle="stop" operator="between" showDropDown="false" showErrorMessage="true" showInputMessage="true" sqref="E2:E1001" type="decimal">
      <formula1>-9.99999999999999E+021</formula1>
      <formula2>9.99999999999999E+020</formula2>
    </dataValidation>
    <dataValidation allowBlank="true" errorStyle="stop" operator="between" showDropDown="false" showErrorMessage="true" showInputMessage="true" sqref="D2:D1001" type="list">
      <formula1>Enums!$O$33:$O$34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4" activeCellId="0" sqref="P34"/>
    </sheetView>
  </sheetViews>
  <sheetFormatPr defaultColWidth="9.36328125" defaultRowHeight="15" customHeight="true" zeroHeight="false" outlineLevelRow="0" outlineLevelCol="0"/>
  <cols>
    <col collapsed="false" customWidth="false" hidden="false" outlineLevel="0" max="1" min="1" style="35" width="9.36"/>
    <col collapsed="false" customWidth="true" hidden="false" outlineLevel="0" max="2" min="2" style="35" width="13.54"/>
    <col collapsed="false" customWidth="true" hidden="false" outlineLevel="0" max="3" min="3" style="35" width="6.63"/>
    <col collapsed="false" customWidth="true" hidden="false" outlineLevel="0" max="4" min="4" style="35" width="13.54"/>
    <col collapsed="false" customWidth="false" hidden="false" outlineLevel="0" max="16384" min="5" style="35" width="9.36"/>
  </cols>
  <sheetData>
    <row r="1" s="53" customFormat="true" ht="15" hidden="false" customHeight="true" outlineLevel="0" collapsed="false">
      <c r="A1" s="15" t="s">
        <v>386</v>
      </c>
      <c r="B1" s="15" t="s">
        <v>1122</v>
      </c>
      <c r="C1" s="15" t="s">
        <v>1119</v>
      </c>
      <c r="D1" s="15" t="s">
        <v>1700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4" activeCellId="0" sqref="P34"/>
    </sheetView>
  </sheetViews>
  <sheetFormatPr defaultColWidth="9.36328125" defaultRowHeight="15" customHeight="true" zeroHeight="false" outlineLevelRow="0" outlineLevelCol="0"/>
  <cols>
    <col collapsed="false" customWidth="false" hidden="false" outlineLevel="0" max="1" min="1" style="1" width="9.36"/>
    <col collapsed="false" customWidth="true" hidden="false" outlineLevel="0" max="2" min="2" style="1" width="6.45"/>
    <col collapsed="false" customWidth="true" hidden="false" outlineLevel="0" max="3" min="3" style="1" width="11.36"/>
    <col collapsed="false" customWidth="true" hidden="false" outlineLevel="0" max="4" min="4" style="1" width="7.63"/>
    <col collapsed="false" customWidth="true" hidden="false" outlineLevel="0" max="5" min="5" style="1" width="13.54"/>
    <col collapsed="false" customWidth="true" hidden="false" outlineLevel="0" max="6" min="6" style="1" width="25.54"/>
    <col collapsed="false" customWidth="true" hidden="false" outlineLevel="0" max="7" min="7" style="1" width="14.45"/>
    <col collapsed="false" customWidth="true" hidden="false" outlineLevel="0" max="8" min="8" style="1" width="19.45"/>
    <col collapsed="false" customWidth="true" hidden="false" outlineLevel="0" max="9" min="9" style="1" width="13.63"/>
    <col collapsed="false" customWidth="false" hidden="false" outlineLevel="0" max="10" min="10" style="1" width="9.36"/>
    <col collapsed="false" customWidth="true" hidden="false" outlineLevel="0" max="11" min="11" style="1" width="13.45"/>
    <col collapsed="false" customWidth="false" hidden="false" outlineLevel="0" max="16384" min="12" style="1" width="9.36"/>
  </cols>
  <sheetData>
    <row r="1" s="35" customFormat="true" ht="15" hidden="false" customHeight="true" outlineLevel="0" collapsed="false">
      <c r="A1" s="15" t="s">
        <v>386</v>
      </c>
      <c r="B1" s="15" t="s">
        <v>1011</v>
      </c>
      <c r="C1" s="15" t="s">
        <v>2</v>
      </c>
      <c r="D1" s="15" t="s">
        <v>644</v>
      </c>
      <c r="E1" s="15" t="s">
        <v>865</v>
      </c>
      <c r="F1" s="15" t="s">
        <v>1701</v>
      </c>
      <c r="G1" s="15" t="s">
        <v>1702</v>
      </c>
      <c r="H1" s="15" t="s">
        <v>1703</v>
      </c>
      <c r="I1" s="15" t="s">
        <v>1704</v>
      </c>
      <c r="J1" s="15" t="s">
        <v>1189</v>
      </c>
      <c r="K1" s="15" t="s">
        <v>1628</v>
      </c>
    </row>
  </sheetData>
  <dataValidations count="2">
    <dataValidation allowBlank="true" error="Numbers Only" errorStyle="stop" operator="between" showDropDown="false" showErrorMessage="true" showInputMessage="true" sqref="E1:E1001" type="none">
      <formula1>0</formula1>
      <formula2>0</formula2>
    </dataValidation>
    <dataValidation allowBlank="true" errorStyle="stop" operator="between" showDropDown="false" showErrorMessage="true" showInputMessage="true" sqref="F2:H1001 J2:J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4" activeCellId="0" sqref="P34"/>
    </sheetView>
  </sheetViews>
  <sheetFormatPr defaultColWidth="9.36328125" defaultRowHeight="15" customHeight="true" zeroHeight="false" outlineLevelRow="0" outlineLevelCol="0"/>
  <cols>
    <col collapsed="false" customWidth="false" hidden="false" outlineLevel="0" max="1" min="1" style="1" width="9.36"/>
    <col collapsed="false" customWidth="true" hidden="false" outlineLevel="0" max="2" min="2" style="1" width="7.63"/>
    <col collapsed="false" customWidth="true" hidden="false" outlineLevel="0" max="3" min="3" style="1" width="13.54"/>
    <col collapsed="false" customWidth="true" hidden="false" outlineLevel="0" max="4" min="4" style="1" width="12.63"/>
    <col collapsed="false" customWidth="true" hidden="false" outlineLevel="0" max="5" min="5" style="1" width="16"/>
    <col collapsed="false" customWidth="true" hidden="false" outlineLevel="0" max="6" min="6" style="1" width="15.45"/>
    <col collapsed="false" customWidth="true" hidden="false" outlineLevel="0" max="7" min="7" style="1" width="5.54"/>
    <col collapsed="false" customWidth="false" hidden="false" outlineLevel="0" max="16384" min="8" style="1" width="9.36"/>
  </cols>
  <sheetData>
    <row r="1" s="35" customFormat="true" ht="15" hidden="false" customHeight="true" outlineLevel="0" collapsed="false">
      <c r="A1" s="15" t="s">
        <v>386</v>
      </c>
      <c r="B1" s="15" t="s">
        <v>644</v>
      </c>
      <c r="C1" s="15" t="s">
        <v>818</v>
      </c>
      <c r="D1" s="15" t="s">
        <v>1705</v>
      </c>
      <c r="E1" s="15" t="s">
        <v>1706</v>
      </c>
      <c r="F1" s="15" t="s">
        <v>1707</v>
      </c>
      <c r="G1" s="15" t="s">
        <v>979</v>
      </c>
    </row>
  </sheetData>
  <dataValidations count="2">
    <dataValidation allowBlank="true" error="Numbers Only" errorStyle="stop" operator="between" showDropDown="false" showErrorMessage="true" showInputMessage="true" sqref="F2:F1001" type="decimal">
      <formula1>-9.99999999999999E+021</formula1>
      <formula2>9.99999999999999E+020</formula2>
    </dataValidation>
    <dataValidation allowBlank="true" errorStyle="stop" operator="between" showDropDown="false" showErrorMessage="true" showInputMessage="true" sqref="C2:C1001" type="list">
      <formula1>Enums!$AE$66:$AE$67</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30" activePane="bottomRight" state="frozen"/>
      <selection pane="topLeft" activeCell="A1" activeCellId="0" sqref="A1"/>
      <selection pane="topRight" activeCell="B1" activeCellId="0" sqref="B1"/>
      <selection pane="bottomLeft" activeCell="A30" activeCellId="0" sqref="A30"/>
      <selection pane="bottomRight" activeCell="A48" activeCellId="0" sqref="A48"/>
    </sheetView>
  </sheetViews>
  <sheetFormatPr defaultColWidth="9.36328125" defaultRowHeight="15" customHeight="true" zeroHeight="false" outlineLevelRow="0" outlineLevelCol="0"/>
  <cols>
    <col collapsed="false" customWidth="true" hidden="false" outlineLevel="0" max="1" min="1" style="35" width="38.54"/>
    <col collapsed="false" customWidth="true" hidden="false" outlineLevel="0" max="3" min="2" style="35" width="10.63"/>
    <col collapsed="false" customWidth="true" hidden="false" outlineLevel="0" max="4" min="4" style="35" width="8.63"/>
    <col collapsed="false" customWidth="true" hidden="false" outlineLevel="0" max="5" min="5" style="35" width="12.63"/>
    <col collapsed="false" customWidth="true" hidden="false" outlineLevel="0" max="6" min="6" style="35" width="6.45"/>
    <col collapsed="false" customWidth="true" hidden="false" outlineLevel="0" max="7" min="7" style="35" width="13.36"/>
    <col collapsed="false" customWidth="true" hidden="false" outlineLevel="0" max="8" min="8" style="35" width="12.54"/>
    <col collapsed="false" customWidth="true" hidden="false" outlineLevel="0" max="9" min="9" style="35" width="12.36"/>
    <col collapsed="false" customWidth="true" hidden="false" outlineLevel="0" max="10" min="10" style="35" width="11.63"/>
    <col collapsed="false" customWidth="true" hidden="false" outlineLevel="0" max="11" min="11" style="35" width="19.36"/>
    <col collapsed="false" customWidth="true" hidden="false" outlineLevel="0" max="12" min="12" style="35" width="13.45"/>
    <col collapsed="false" customWidth="true" hidden="false" outlineLevel="0" max="13" min="13" style="35" width="15.54"/>
    <col collapsed="false" customWidth="false" hidden="false" outlineLevel="0" max="16384" min="14" style="35" width="9.36"/>
  </cols>
  <sheetData>
    <row r="1" s="30" customFormat="true" ht="15" hidden="false" customHeight="true" outlineLevel="0" collapsed="false">
      <c r="A1" s="15" t="s">
        <v>1011</v>
      </c>
      <c r="B1" s="15" t="s">
        <v>1294</v>
      </c>
      <c r="C1" s="15" t="s">
        <v>2</v>
      </c>
      <c r="D1" s="15" t="s">
        <v>489</v>
      </c>
      <c r="E1" s="15" t="s">
        <v>1251</v>
      </c>
      <c r="F1" s="15" t="s">
        <v>1708</v>
      </c>
      <c r="G1" s="15" t="s">
        <v>1709</v>
      </c>
      <c r="H1" s="15" t="s">
        <v>1710</v>
      </c>
      <c r="I1" s="15" t="s">
        <v>1711</v>
      </c>
      <c r="J1" s="15" t="s">
        <v>1189</v>
      </c>
      <c r="K1" s="49" t="s">
        <v>1712</v>
      </c>
      <c r="L1" s="58" t="s">
        <v>1427</v>
      </c>
    </row>
  </sheetData>
  <autoFilter ref="A1:P223"/>
  <conditionalFormatting sqref="A152:A207">
    <cfRule type="duplicateValues" priority="2" aboveAverage="0" equalAverage="0" bottom="0" percent="0" rank="0" text="" dxfId="95"/>
  </conditionalFormatting>
  <conditionalFormatting sqref="A142:A143">
    <cfRule type="duplicateValues" priority="3" aboveAverage="0" equalAverage="0" bottom="0" percent="0" rank="0" text="" dxfId="96"/>
  </conditionalFormatting>
  <conditionalFormatting sqref="A141">
    <cfRule type="duplicateValues" priority="4" aboveAverage="0" equalAverage="0" bottom="0" percent="0" rank="0" text="" dxfId="97"/>
  </conditionalFormatting>
  <conditionalFormatting sqref="A137:A138">
    <cfRule type="duplicateValues" priority="5" aboveAverage="0" equalAverage="0" bottom="0" percent="0" rank="0" text="" dxfId="98"/>
  </conditionalFormatting>
  <conditionalFormatting sqref="A133">
    <cfRule type="duplicateValues" priority="6" aboveAverage="0" equalAverage="0" bottom="0" percent="0" rank="0" text="" dxfId="99"/>
    <cfRule type="duplicateValues" priority="7" aboveAverage="0" equalAverage="0" bottom="0" percent="0" rank="0" text="" dxfId="100"/>
  </conditionalFormatting>
  <conditionalFormatting sqref="A87:A91">
    <cfRule type="duplicateValues" priority="8" aboveAverage="0" equalAverage="0" bottom="0" percent="0" rank="0" text="" dxfId="101"/>
  </conditionalFormatting>
  <conditionalFormatting sqref="A78">
    <cfRule type="duplicateValues" priority="9" aboveAverage="0" equalAverage="0" bottom="0" percent="0" rank="0" text="" dxfId="102"/>
  </conditionalFormatting>
  <conditionalFormatting sqref="A82">
    <cfRule type="duplicateValues" priority="10" aboveAverage="0" equalAverage="0" bottom="0" percent="0" rank="0" text="" dxfId="103"/>
  </conditionalFormatting>
  <conditionalFormatting sqref="A31">
    <cfRule type="duplicateValues" priority="11" aboveAverage="0" equalAverage="0" bottom="0" percent="0" rank="0" text="" dxfId="104"/>
    <cfRule type="duplicateValues" priority="12" aboveAverage="0" equalAverage="0" bottom="0" percent="0" rank="0" text="" dxfId="105"/>
  </conditionalFormatting>
  <conditionalFormatting sqref="A32">
    <cfRule type="duplicateValues" priority="13" aboveAverage="0" equalAverage="0" bottom="0" percent="0" rank="0" text="" dxfId="106"/>
  </conditionalFormatting>
  <conditionalFormatting sqref="A33">
    <cfRule type="duplicateValues" priority="14" aboveAverage="0" equalAverage="0" bottom="0" percent="0" rank="0" text="" dxfId="107"/>
    <cfRule type="duplicateValues" priority="15" aboveAverage="0" equalAverage="0" bottom="0" percent="0" rank="0" text="" dxfId="108"/>
  </conditionalFormatting>
  <conditionalFormatting sqref="L213">
    <cfRule type="duplicateValues" priority="16" aboveAverage="0" equalAverage="0" bottom="0" percent="0" rank="0" text="" dxfId="109"/>
    <cfRule type="duplicateValues" priority="17" aboveAverage="0" equalAverage="0" bottom="0" percent="0" rank="0" text="" dxfId="110"/>
  </conditionalFormatting>
  <conditionalFormatting sqref="A7">
    <cfRule type="duplicateValues" priority="18" aboveAverage="0" equalAverage="0" bottom="0" percent="0" rank="0" text="" dxfId="111"/>
    <cfRule type="duplicateValues" priority="19" aboveAverage="0" equalAverage="0" bottom="0" percent="0" rank="0" text="" dxfId="112"/>
  </conditionalFormatting>
  <conditionalFormatting sqref="A213">
    <cfRule type="duplicateValues" priority="20" aboveAverage="0" equalAverage="0" bottom="0" percent="0" rank="0" text="" dxfId="113"/>
    <cfRule type="duplicateValues" priority="21" aboveAverage="0" equalAverage="0" bottom="0" percent="0" rank="0" text="" dxfId="114"/>
  </conditionalFormatting>
  <conditionalFormatting sqref="A10">
    <cfRule type="duplicateValues" priority="22" aboveAverage="0" equalAverage="0" bottom="0" percent="0" rank="0" text="" dxfId="115"/>
  </conditionalFormatting>
  <conditionalFormatting sqref="A29 A21:A23">
    <cfRule type="duplicateValues" priority="23" aboveAverage="0" equalAverage="0" bottom="0" percent="0" rank="0" text="" dxfId="116"/>
  </conditionalFormatting>
  <conditionalFormatting sqref="A29">
    <cfRule type="duplicateValues" priority="24" aboveAverage="0" equalAverage="0" bottom="0" percent="0" rank="0" text="" dxfId="117"/>
  </conditionalFormatting>
  <conditionalFormatting sqref="A21:A23">
    <cfRule type="duplicateValues" priority="25" aboveAverage="0" equalAverage="0" bottom="0" percent="0" rank="0" text="" dxfId="118"/>
  </conditionalFormatting>
  <conditionalFormatting sqref="A22:A23">
    <cfRule type="duplicateValues" priority="26" aboveAverage="0" equalAverage="0" bottom="0" percent="0" rank="0" text="" dxfId="119"/>
  </conditionalFormatting>
  <conditionalFormatting sqref="A225:A1048576 A216:A221 A1">
    <cfRule type="duplicateValues" priority="27" aboveAverage="0" equalAverage="0" bottom="0" percent="0" rank="0" text="" dxfId="120"/>
  </conditionalFormatting>
  <conditionalFormatting sqref="A85:A86 A71:A73 A75:A77 A79:A81 A83">
    <cfRule type="duplicateValues" priority="28" aboveAverage="0" equalAverage="0" bottom="0" percent="0" rank="0" text="" dxfId="121"/>
  </conditionalFormatting>
  <conditionalFormatting sqref="A144:A151">
    <cfRule type="duplicateValues" priority="29" aboveAverage="0" equalAverage="0" bottom="0" percent="0" rank="0" text="" dxfId="122"/>
  </conditionalFormatting>
  <conditionalFormatting sqref="A34:A63">
    <cfRule type="duplicateValues" priority="30" aboveAverage="0" equalAverage="0" bottom="0" percent="0" rank="0" text="" dxfId="123"/>
  </conditionalFormatting>
  <dataValidations count="3">
    <dataValidation allowBlank="true" errorStyle="stop" operator="greaterThanOrEqual" showDropDown="false" showErrorMessage="true" showInputMessage="true" sqref="B1 B34:B51 B53:B63 B65:B68 B70:B95 B99 B101:B102 B107:B112 B114:B118 B120:B122 B124:B125 B128:B130 B137:B138 B141:B147 B152 B208" type="none">
      <formula1>0</formula1>
      <formula2>0</formula2>
    </dataValidation>
    <dataValidation allowBlank="true" errorStyle="stop" operator="between" showDropDown="false" showErrorMessage="true" showInputMessage="true" sqref="F7:H7 J7 F225:H1001 J225:J1001" type="list">
      <formula1>Enums!$A$34:$A$35</formula1>
      <formula2>0</formula2>
    </dataValidation>
    <dataValidation allowBlank="true" errorStyle="stop" operator="between" showDropDown="false" showErrorMessage="true" showInputMessage="true" sqref="I7 I217:I221 I225:I1001" type="list">
      <formula1>Enums!$K$90:$K$91</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61" activePane="bottomRight" state="frozen"/>
      <selection pane="topLeft" activeCell="A1" activeCellId="0" sqref="A1"/>
      <selection pane="topRight" activeCell="C1" activeCellId="0" sqref="C1"/>
      <selection pane="bottomLeft" activeCell="A61" activeCellId="0" sqref="A61"/>
      <selection pane="bottomRight" activeCell="D86" activeCellId="0" sqref="D86"/>
    </sheetView>
  </sheetViews>
  <sheetFormatPr defaultColWidth="9.36328125" defaultRowHeight="15" customHeight="true" zeroHeight="false" outlineLevelRow="0" outlineLevelCol="0"/>
  <cols>
    <col collapsed="false" customWidth="true" hidden="false" outlineLevel="0" max="1" min="1" style="68" width="44.45"/>
    <col collapsed="false" customWidth="true" hidden="false" outlineLevel="0" max="2" min="2" style="68" width="35.36"/>
    <col collapsed="false" customWidth="true" hidden="false" outlineLevel="0" max="3" min="3" style="68" width="10.36"/>
    <col collapsed="false" customWidth="true" hidden="false" outlineLevel="0" max="4" min="4" style="68" width="49"/>
    <col collapsed="false" customWidth="true" hidden="false" outlineLevel="0" max="5" min="5" style="68" width="6.36"/>
    <col collapsed="false" customWidth="true" hidden="false" outlineLevel="0" max="6" min="6" style="68" width="11.36"/>
    <col collapsed="false" customWidth="true" hidden="false" outlineLevel="0" max="7" min="7" style="68" width="9.63"/>
    <col collapsed="false" customWidth="true" hidden="false" outlineLevel="0" max="8" min="8" style="68" width="12.45"/>
    <col collapsed="false" customWidth="true" hidden="false" outlineLevel="0" max="9" min="9" style="68" width="12.63"/>
    <col collapsed="false" customWidth="true" hidden="false" outlineLevel="0" max="10" min="10" style="68" width="8.45"/>
    <col collapsed="false" customWidth="true" hidden="false" outlineLevel="0" max="11" min="11" style="68" width="6"/>
    <col collapsed="false" customWidth="false" hidden="false" outlineLevel="0" max="16384" min="12" style="68" width="9.36"/>
  </cols>
  <sheetData>
    <row r="1" s="67" customFormat="true" ht="15" hidden="false" customHeight="true" outlineLevel="0" collapsed="false">
      <c r="A1" s="66" t="s">
        <v>996</v>
      </c>
      <c r="B1" s="66" t="s">
        <v>1713</v>
      </c>
      <c r="C1" s="66" t="s">
        <v>1714</v>
      </c>
      <c r="D1" s="69" t="s">
        <v>268</v>
      </c>
      <c r="E1" s="66" t="s">
        <v>1715</v>
      </c>
      <c r="F1" s="66" t="s">
        <v>1716</v>
      </c>
      <c r="G1" s="66" t="s">
        <v>1717</v>
      </c>
      <c r="H1" s="66" t="s">
        <v>1579</v>
      </c>
      <c r="I1" s="70" t="s">
        <v>1718</v>
      </c>
      <c r="J1" s="70" t="s">
        <v>812</v>
      </c>
    </row>
  </sheetData>
  <autoFilter ref="A1:L458"/>
  <conditionalFormatting sqref="B458">
    <cfRule type="duplicateValues" priority="2" aboveAverage="0" equalAverage="0" bottom="0" percent="0" rank="0" text="" dxfId="126"/>
  </conditionalFormatting>
  <conditionalFormatting sqref="B17">
    <cfRule type="duplicateValues" priority="3" aboveAverage="0" equalAverage="0" bottom="0" percent="0" rank="0" text="" dxfId="127"/>
  </conditionalFormatting>
  <conditionalFormatting sqref="B454:B455">
    <cfRule type="duplicateValues" priority="4" aboveAverage="0" equalAverage="0" bottom="0" percent="0" rank="0" text="" dxfId="128"/>
  </conditionalFormatting>
  <conditionalFormatting sqref="B485">
    <cfRule type="duplicateValues" priority="5" aboveAverage="0" equalAverage="0" bottom="0" percent="0" rank="0" text="" dxfId="129"/>
  </conditionalFormatting>
  <conditionalFormatting sqref="B25">
    <cfRule type="duplicateValues" priority="6" aboveAverage="0" equalAverage="0" bottom="0" percent="0" rank="0" text="" dxfId="130"/>
  </conditionalFormatting>
  <conditionalFormatting sqref="B70">
    <cfRule type="duplicateValues" priority="7" aboveAverage="0" equalAverage="0" bottom="0" percent="0" rank="0" text="" dxfId="131"/>
    <cfRule type="duplicateValues" priority="8" aboveAverage="0" equalAverage="0" bottom="0" percent="0" rank="0" text="" dxfId="132"/>
    <cfRule type="duplicateValues" priority="9" aboveAverage="0" equalAverage="0" bottom="0" percent="0" rank="0" text="" dxfId="133"/>
    <cfRule type="duplicateValues" priority="10" aboveAverage="0" equalAverage="0" bottom="0" percent="0" rank="0" text="" dxfId="134"/>
  </conditionalFormatting>
  <conditionalFormatting sqref="B56">
    <cfRule type="duplicateValues" priority="11" aboveAverage="0" equalAverage="0" bottom="0" percent="0" rank="0" text="" dxfId="135"/>
    <cfRule type="duplicateValues" priority="12" aboveAverage="0" equalAverage="0" bottom="0" percent="0" rank="0" text="" dxfId="136"/>
  </conditionalFormatting>
  <conditionalFormatting sqref="B62">
    <cfRule type="duplicateValues" priority="13" aboveAverage="0" equalAverage="0" bottom="0" percent="0" rank="0" text="" dxfId="137"/>
  </conditionalFormatting>
  <conditionalFormatting sqref="B64">
    <cfRule type="duplicateValues" priority="14" aboveAverage="0" equalAverage="0" bottom="0" percent="0" rank="0" text="" dxfId="138"/>
  </conditionalFormatting>
  <conditionalFormatting sqref="B58:B59">
    <cfRule type="duplicateValues" priority="15" aboveAverage="0" equalAverage="0" bottom="0" percent="0" rank="0" text="" dxfId="139"/>
  </conditionalFormatting>
  <conditionalFormatting sqref="B481">
    <cfRule type="duplicateValues" priority="16" aboveAverage="0" equalAverage="0" bottom="0" percent="0" rank="0" text="" dxfId="140"/>
  </conditionalFormatting>
  <conditionalFormatting sqref="B482">
    <cfRule type="duplicateValues" priority="17" aboveAverage="0" equalAverage="0" bottom="0" percent="0" rank="0" text="" dxfId="141"/>
  </conditionalFormatting>
  <conditionalFormatting sqref="G9">
    <cfRule type="duplicateValues" priority="18" aboveAverage="0" equalAverage="0" bottom="0" percent="0" rank="0" text="" dxfId="142"/>
    <cfRule type="duplicateValues" priority="19" aboveAverage="0" equalAverage="0" bottom="0" percent="0" rank="0" text="" dxfId="143"/>
  </conditionalFormatting>
  <conditionalFormatting sqref="B483">
    <cfRule type="duplicateValues" priority="20" aboveAverage="0" equalAverage="0" bottom="0" percent="0" rank="0" text="" dxfId="144"/>
  </conditionalFormatting>
  <conditionalFormatting sqref="B484">
    <cfRule type="duplicateValues" priority="21" aboveAverage="0" equalAverage="0" bottom="0" percent="0" rank="0" text="" dxfId="145"/>
  </conditionalFormatting>
  <conditionalFormatting sqref="B23">
    <cfRule type="duplicateValues" priority="22" aboveAverage="0" equalAverage="0" bottom="0" percent="0" rank="0" text="" dxfId="146"/>
  </conditionalFormatting>
  <conditionalFormatting sqref="B20:B21">
    <cfRule type="duplicateValues" priority="23" aboveAverage="0" equalAverage="0" bottom="0" percent="0" rank="0" text="" dxfId="147"/>
  </conditionalFormatting>
  <conditionalFormatting sqref="B7">
    <cfRule type="duplicateValues" priority="24" aboveAverage="0" equalAverage="0" bottom="0" percent="0" rank="0" text="" dxfId="148"/>
  </conditionalFormatting>
  <conditionalFormatting sqref="B44">
    <cfRule type="duplicateValues" priority="25" aboveAverage="0" equalAverage="0" bottom="0" percent="0" rank="0" text="" dxfId="149"/>
  </conditionalFormatting>
  <conditionalFormatting sqref="B46">
    <cfRule type="duplicateValues" priority="26" aboveAverage="0" equalAverage="0" bottom="0" percent="0" rank="0" text="" dxfId="150"/>
  </conditionalFormatting>
  <conditionalFormatting sqref="B26">
    <cfRule type="duplicateValues" priority="27" aboveAverage="0" equalAverage="0" bottom="0" percent="0" rank="0" text="" dxfId="151"/>
  </conditionalFormatting>
  <conditionalFormatting sqref="B24">
    <cfRule type="duplicateValues" priority="28" aboveAverage="0" equalAverage="0" bottom="0" percent="0" rank="0" text="" dxfId="152"/>
  </conditionalFormatting>
  <conditionalFormatting sqref="B15:B16">
    <cfRule type="duplicateValues" priority="29" aboveAverage="0" equalAverage="0" bottom="0" percent="0" rank="0" text="" dxfId="153"/>
  </conditionalFormatting>
  <conditionalFormatting sqref="B13">
    <cfRule type="duplicateValues" priority="30" aboveAverage="0" equalAverage="0" bottom="0" percent="0" rank="0" text="" dxfId="154"/>
  </conditionalFormatting>
  <conditionalFormatting sqref="B12">
    <cfRule type="duplicateValues" priority="31" aboveAverage="0" equalAverage="0" bottom="0" percent="0" rank="0" text="" dxfId="155"/>
  </conditionalFormatting>
  <conditionalFormatting sqref="B6">
    <cfRule type="duplicateValues" priority="32" aboveAverage="0" equalAverage="0" bottom="0" percent="0" rank="0" text="" dxfId="156"/>
  </conditionalFormatting>
  <conditionalFormatting sqref="B4:B5">
    <cfRule type="duplicateValues" priority="33" aboveAverage="0" equalAverage="0" bottom="0" percent="0" rank="0" text="" dxfId="157"/>
  </conditionalFormatting>
  <conditionalFormatting sqref="B3">
    <cfRule type="duplicateValues" priority="34" aboveAverage="0" equalAverage="0" bottom="0" percent="0" rank="0" text="" dxfId="158"/>
  </conditionalFormatting>
  <conditionalFormatting sqref="G8">
    <cfRule type="duplicateValues" priority="35" aboveAverage="0" equalAverage="0" bottom="0" percent="0" rank="0" text="" dxfId="159"/>
    <cfRule type="duplicateValues" priority="36" aboveAverage="0" equalAverage="0" bottom="0" percent="0" rank="0" text="" dxfId="160"/>
  </conditionalFormatting>
  <conditionalFormatting sqref="B27">
    <cfRule type="duplicateValues" priority="37" aboveAverage="0" equalAverage="0" bottom="0" percent="0" rank="0" text="" dxfId="161"/>
  </conditionalFormatting>
  <conditionalFormatting sqref="B2">
    <cfRule type="duplicateValues" priority="38" aboveAverage="0" equalAverage="0" bottom="0" percent="0" rank="0" text="" dxfId="162"/>
  </conditionalFormatting>
  <conditionalFormatting sqref="B28">
    <cfRule type="duplicateValues" priority="39" aboveAverage="0" equalAverage="0" bottom="0" percent="0" rank="0" text="" dxfId="163"/>
  </conditionalFormatting>
  <conditionalFormatting sqref="B40:B41">
    <cfRule type="duplicateValues" priority="40" aboveAverage="0" equalAverage="0" bottom="0" percent="0" rank="0" text="" dxfId="164"/>
  </conditionalFormatting>
  <conditionalFormatting sqref="B14">
    <cfRule type="duplicateValues" priority="41" aboveAverage="0" equalAverage="0" bottom="0" percent="0" rank="0" text="" dxfId="165"/>
  </conditionalFormatting>
  <conditionalFormatting sqref="G10">
    <cfRule type="duplicateValues" priority="42" aboveAverage="0" equalAverage="0" bottom="0" percent="0" rank="0" text="" dxfId="166"/>
    <cfRule type="duplicateValues" priority="43" aboveAverage="0" equalAverage="0" bottom="0" percent="0" rank="0" text="" dxfId="167"/>
  </conditionalFormatting>
  <conditionalFormatting sqref="B69 B71:B76">
    <cfRule type="duplicateValues" priority="44" aboveAverage="0" equalAverage="0" bottom="0" percent="0" rank="0" text="" dxfId="168"/>
  </conditionalFormatting>
  <conditionalFormatting sqref="B129:B139">
    <cfRule type="duplicateValues" priority="45" aboveAverage="0" equalAverage="0" bottom="0" percent="0" rank="0" text="" dxfId="169"/>
  </conditionalFormatting>
  <conditionalFormatting sqref="B19">
    <cfRule type="duplicateValues" priority="46" aboveAverage="0" equalAverage="0" bottom="0" percent="0" rank="0" text="" dxfId="170"/>
  </conditionalFormatting>
  <dataValidations count="1">
    <dataValidation allowBlank="true" errorStyle="stop" operator="between" showDropDown="false" showErrorMessage="true" showInputMessage="true" sqref="C9 E9:F10 E108:F108 C174:C214 E174:F214 C226:C246 E226:F246 C296:C299 E296:F299 C304:C311 E304:F311 C459 E459:F459 C475:C1001 E475:F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9" activeCellId="0" sqref="F9"/>
    </sheetView>
  </sheetViews>
  <sheetFormatPr defaultColWidth="9.36328125" defaultRowHeight="15" customHeight="true" zeroHeight="false" outlineLevelRow="0" outlineLevelCol="0"/>
  <cols>
    <col collapsed="false" customWidth="true" hidden="false" outlineLevel="0" max="1" min="1" style="1" width="14.45"/>
    <col collapsed="false" customWidth="true" hidden="false" outlineLevel="0" max="2" min="2" style="1" width="6.45"/>
    <col collapsed="false" customWidth="true" hidden="false" outlineLevel="0" max="3" min="3" style="1" width="10.45"/>
    <col collapsed="false" customWidth="true" hidden="false" outlineLevel="0" max="4" min="4" style="1" width="18.54"/>
    <col collapsed="false" customWidth="true" hidden="false" outlineLevel="0" max="5" min="5" style="1" width="11.63"/>
    <col collapsed="false" customWidth="true" hidden="false" outlineLevel="0" max="6" min="6" style="1" width="12"/>
    <col collapsed="false" customWidth="true" hidden="false" outlineLevel="0" max="7" min="7" style="1" width="11.36"/>
    <col collapsed="false" customWidth="true" hidden="false" outlineLevel="0" max="8" min="8" style="1" width="10.54"/>
    <col collapsed="false" customWidth="true" hidden="false" outlineLevel="0" max="9" min="9" style="1" width="15.45"/>
    <col collapsed="false" customWidth="false" hidden="false" outlineLevel="0" max="10" min="10" style="1" width="9.36"/>
    <col collapsed="false" customWidth="true" hidden="false" outlineLevel="0" max="11" min="11" style="1" width="14"/>
    <col collapsed="false" customWidth="true" hidden="false" outlineLevel="0" max="12" min="12" style="1" width="8.54"/>
    <col collapsed="false" customWidth="false" hidden="false" outlineLevel="0" max="16384" min="13" style="1" width="9.36"/>
  </cols>
  <sheetData>
    <row r="1" s="35" customFormat="true" ht="15" hidden="false" customHeight="true" outlineLevel="0" collapsed="false">
      <c r="A1" s="15" t="s">
        <v>386</v>
      </c>
      <c r="B1" s="15" t="s">
        <v>911</v>
      </c>
      <c r="C1" s="15" t="s">
        <v>790</v>
      </c>
      <c r="D1" s="15" t="s">
        <v>1719</v>
      </c>
      <c r="E1" s="15" t="s">
        <v>1720</v>
      </c>
      <c r="F1" s="15" t="s">
        <v>1721</v>
      </c>
      <c r="G1" s="15" t="s">
        <v>1722</v>
      </c>
      <c r="H1" s="15" t="s">
        <v>1723</v>
      </c>
      <c r="I1" s="15" t="s">
        <v>1724</v>
      </c>
      <c r="J1" s="15" t="s">
        <v>1725</v>
      </c>
      <c r="K1" s="15" t="s">
        <v>1726</v>
      </c>
      <c r="L1" s="15" t="s">
        <v>1727</v>
      </c>
    </row>
  </sheetData>
  <dataValidations count="1">
    <dataValidation allowBlank="true" error="Numbers Only" errorStyle="stop" operator="between" showDropDown="false" showErrorMessage="true" showInputMessage="true" sqref="1:100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9.36328125" defaultRowHeight="15" customHeight="true" zeroHeight="false" outlineLevelRow="0" outlineLevelCol="0"/>
  <cols>
    <col collapsed="false" customWidth="false" hidden="false" outlineLevel="0" max="1" min="1" style="1" width="9.36"/>
    <col collapsed="false" customWidth="true" hidden="false" outlineLevel="0" max="2" min="2" style="1" width="14.45"/>
    <col collapsed="false" customWidth="true" hidden="false" outlineLevel="0" max="3" min="3" style="1" width="6.45"/>
    <col collapsed="false" customWidth="false" hidden="false" outlineLevel="0" max="16384" min="4" style="1" width="9.36"/>
  </cols>
  <sheetData>
    <row r="1" s="35" customFormat="true" ht="15" hidden="false" customHeight="true" outlineLevel="0" collapsed="false">
      <c r="A1" s="15" t="s">
        <v>386</v>
      </c>
      <c r="B1" s="15" t="s">
        <v>497</v>
      </c>
      <c r="C1" s="15" t="s">
        <v>911</v>
      </c>
    </row>
  </sheetData>
  <dataValidations count="1">
    <dataValidation allowBlank="true" error="Numbers Only" errorStyle="stop" operator="between" showDropDown="false" showErrorMessage="true" showInputMessage="true" sqref="1:100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P34" activeCellId="0" sqref="P34"/>
    </sheetView>
  </sheetViews>
  <sheetFormatPr defaultColWidth="9.36328125" defaultRowHeight="15" customHeight="true" zeroHeight="false" outlineLevelRow="0" outlineLevelCol="0"/>
  <cols>
    <col collapsed="false" customWidth="false" hidden="false" outlineLevel="0" max="1" min="1" style="1" width="9.36"/>
    <col collapsed="false" customWidth="true" hidden="false" outlineLevel="0" max="2" min="2" style="1" width="6.45"/>
    <col collapsed="false" customWidth="true" hidden="false" outlineLevel="0" max="3" min="3" style="1" width="11.36"/>
    <col collapsed="false" customWidth="true" hidden="false" outlineLevel="0" max="5" min="4" style="1" width="14.63"/>
    <col collapsed="false" customWidth="true" hidden="false" outlineLevel="0" max="6" min="6" style="1" width="14.54"/>
    <col collapsed="false" customWidth="true" hidden="false" outlineLevel="0" max="7" min="7" style="1" width="28.54"/>
    <col collapsed="false" customWidth="true" hidden="false" outlineLevel="0" max="8" min="8" style="1" width="9.54"/>
    <col collapsed="false" customWidth="false" hidden="false" outlineLevel="0" max="16384" min="9" style="1" width="9.36"/>
  </cols>
  <sheetData>
    <row r="1" s="35" customFormat="true" ht="15" hidden="false" customHeight="true" outlineLevel="0" collapsed="false">
      <c r="A1" s="15" t="s">
        <v>386</v>
      </c>
      <c r="B1" s="15" t="s">
        <v>1011</v>
      </c>
      <c r="C1" s="15" t="s">
        <v>2</v>
      </c>
      <c r="D1" s="15" t="s">
        <v>1728</v>
      </c>
      <c r="E1" s="15" t="s">
        <v>1729</v>
      </c>
      <c r="F1" s="15" t="s">
        <v>1730</v>
      </c>
      <c r="G1" s="15" t="s">
        <v>1731</v>
      </c>
      <c r="H1" s="15" t="s">
        <v>1189</v>
      </c>
    </row>
  </sheetData>
  <dataValidations count="4">
    <dataValidation allowBlank="true" error="Numbers Only" errorStyle="stop" operator="between" showDropDown="false" showErrorMessage="true" showInputMessage="true" sqref="B2:C1001 G2:G1001 I2:XFD1001" type="none">
      <formula1>0</formula1>
      <formula2>0</formula2>
    </dataValidation>
    <dataValidation allowBlank="true" error="Numbers Only&#10;&gt;=1" errorStyle="stop" errorTitle="&gt;=1" operator="greaterThanOrEqual" showDropDown="false" showErrorMessage="true" showInputMessage="true" sqref="D2:E1001" type="whole">
      <formula1>1</formula1>
      <formula2>0</formula2>
    </dataValidation>
    <dataValidation allowBlank="true" error="Numbers Only&#10;&gt;=0" errorStyle="stop" errorTitle="&gt;=0" operator="greaterThanOrEqual" showDropDown="false" showErrorMessage="true" showInputMessage="true" sqref="F2:F1001" type="whole">
      <formula1>0</formula1>
      <formula2>0</formula2>
    </dataValidation>
    <dataValidation allowBlank="true" error="Numbers Only" errorStyle="stop" operator="between" showDropDown="false" showErrorMessage="true" showInputMessage="true" sqref="H2:H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F20" activeCellId="0" sqref="F20"/>
    </sheetView>
  </sheetViews>
  <sheetFormatPr defaultColWidth="9.36328125" defaultRowHeight="15" customHeight="true" zeroHeight="false" outlineLevelRow="0" outlineLevelCol="0"/>
  <cols>
    <col collapsed="false" customWidth="true" hidden="false" outlineLevel="0" max="1" min="1" style="65" width="12.36"/>
    <col collapsed="false" customWidth="true" hidden="false" outlineLevel="0" max="2" min="2" style="65" width="25.54"/>
    <col collapsed="false" customWidth="true" hidden="false" outlineLevel="0" max="3" min="3" style="65" width="6.45"/>
    <col collapsed="false" customWidth="true" hidden="false" outlineLevel="0" max="4" min="4" style="65" width="8.45"/>
    <col collapsed="false" customWidth="true" hidden="false" outlineLevel="0" max="5" min="5" style="65" width="17.54"/>
    <col collapsed="false" customWidth="false" hidden="false" outlineLevel="0" max="16384" min="6" style="65" width="9.36"/>
  </cols>
  <sheetData>
    <row r="1" customFormat="false" ht="15.75" hidden="false" customHeight="true" outlineLevel="0" collapsed="false">
      <c r="A1" s="66" t="s">
        <v>1217</v>
      </c>
      <c r="B1" s="66" t="s">
        <v>1219</v>
      </c>
      <c r="C1" s="66" t="s">
        <v>1277</v>
      </c>
      <c r="D1" s="66" t="s">
        <v>812</v>
      </c>
    </row>
  </sheetData>
  <conditionalFormatting sqref="B3:B4">
    <cfRule type="duplicateValues" priority="2" aboveAverage="0" equalAverage="0" bottom="0" percent="0" rank="0" text="" dxfId="171"/>
  </conditionalFormatting>
  <dataValidations count="2">
    <dataValidation allowBlank="true" errorStyle="stop" operator="greaterThanOrEqual" showDropDown="false" showErrorMessage="true" showInputMessage="true" sqref="C1:D1" type="none">
      <formula1>0</formula1>
      <formula2>0</formula2>
    </dataValidation>
    <dataValidation allowBlank="true" error="Whole Numbers Only. &gt;=1" errorStyle="stop" operator="greaterThanOrEqual" showDropDown="false" showErrorMessage="true" showInputMessage="true" sqref="C2:D1001" type="whole">
      <formula1>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U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137" activePane="bottomLeft" state="frozen"/>
      <selection pane="topLeft" activeCell="A1" activeCellId="0" sqref="A1"/>
      <selection pane="bottomLeft" activeCell="A149" activeCellId="0" sqref="A149"/>
    </sheetView>
  </sheetViews>
  <sheetFormatPr defaultColWidth="13.453125" defaultRowHeight="15" customHeight="true" zeroHeight="false" outlineLevelRow="0" outlineLevelCol="0"/>
  <cols>
    <col collapsed="false" customWidth="true" hidden="false" outlineLevel="0" max="1" min="1" style="53" width="23.45"/>
    <col collapsed="false" customWidth="true" hidden="false" outlineLevel="0" max="2" min="2" style="53" width="52"/>
    <col collapsed="false" customWidth="true" hidden="false" outlineLevel="0" max="3" min="3" style="53" width="12"/>
    <col collapsed="false" customWidth="true" hidden="false" outlineLevel="0" max="4" min="4" style="53" width="24"/>
    <col collapsed="false" customWidth="true" hidden="false" outlineLevel="0" max="5" min="5" style="53" width="10.63"/>
    <col collapsed="false" customWidth="true" hidden="false" outlineLevel="0" max="6" min="6" style="53" width="12.45"/>
    <col collapsed="false" customWidth="true" hidden="false" outlineLevel="0" max="7" min="7" style="53" width="16.54"/>
    <col collapsed="false" customWidth="true" hidden="false" outlineLevel="0" max="8" min="8" style="53" width="13.63"/>
    <col collapsed="false" customWidth="true" hidden="false" outlineLevel="0" max="9" min="9" style="53" width="7.54"/>
    <col collapsed="false" customWidth="true" hidden="false" outlineLevel="0" max="10" min="10" style="53" width="12.54"/>
    <col collapsed="false" customWidth="true" hidden="false" outlineLevel="0" max="11" min="11" style="53" width="7.54"/>
    <col collapsed="false" customWidth="true" hidden="false" outlineLevel="0" max="12" min="12" style="53" width="6.63"/>
    <col collapsed="false" customWidth="true" hidden="false" outlineLevel="0" max="13" min="13" style="53" width="13.54"/>
    <col collapsed="false" customWidth="false" hidden="false" outlineLevel="0" max="14" min="14" style="53" width="13.45"/>
    <col collapsed="false" customWidth="true" hidden="false" outlineLevel="0" max="15" min="15" style="53" width="13.54"/>
    <col collapsed="false" customWidth="true" hidden="false" outlineLevel="0" max="16" min="16" style="53" width="20.45"/>
    <col collapsed="false" customWidth="true" hidden="false" outlineLevel="0" max="17" min="17" style="53" width="28.45"/>
    <col collapsed="false" customWidth="true" hidden="false" outlineLevel="0" max="18" min="18" style="53" width="24.54"/>
    <col collapsed="false" customWidth="true" hidden="false" outlineLevel="0" max="19" min="19" style="53" width="21"/>
    <col collapsed="false" customWidth="true" hidden="false" outlineLevel="0" max="20" min="20" style="53" width="11.45"/>
    <col collapsed="false" customWidth="true" hidden="false" outlineLevel="0" max="22" min="21" style="53" width="32.45"/>
    <col collapsed="false" customWidth="true" hidden="false" outlineLevel="0" max="23" min="23" style="53" width="28"/>
    <col collapsed="false" customWidth="true" hidden="false" outlineLevel="0" max="24" min="24" style="53" width="28.63"/>
    <col collapsed="false" customWidth="true" hidden="false" outlineLevel="0" max="25" min="25" style="53" width="27.45"/>
    <col collapsed="false" customWidth="true" hidden="false" outlineLevel="0" max="26" min="26" style="53" width="14.54"/>
    <col collapsed="false" customWidth="true" hidden="false" outlineLevel="0" max="27" min="27" style="53" width="13.54"/>
    <col collapsed="false" customWidth="true" hidden="false" outlineLevel="0" max="28" min="28" style="53" width="16"/>
    <col collapsed="false" customWidth="true" hidden="false" outlineLevel="0" max="29" min="29" style="53" width="14.45"/>
    <col collapsed="false" customWidth="true" hidden="false" outlineLevel="0" max="30" min="30" style="53" width="31"/>
    <col collapsed="false" customWidth="true" hidden="false" outlineLevel="0" max="31" min="31" style="53" width="30.45"/>
    <col collapsed="false" customWidth="true" hidden="false" outlineLevel="0" max="32" min="32" style="53" width="48.45"/>
    <col collapsed="false" customWidth="false" hidden="false" outlineLevel="0" max="33" min="33" style="53" width="13.45"/>
    <col collapsed="false" customWidth="true" hidden="false" outlineLevel="0" max="34" min="34" style="53" width="25.45"/>
    <col collapsed="false" customWidth="true" hidden="false" outlineLevel="0" max="35" min="35" style="53" width="21.54"/>
    <col collapsed="false" customWidth="true" hidden="false" outlineLevel="0" max="36" min="36" style="53" width="16.36"/>
    <col collapsed="false" customWidth="true" hidden="false" outlineLevel="0" max="37" min="37" style="53" width="30.45"/>
    <col collapsed="false" customWidth="true" hidden="false" outlineLevel="0" max="38" min="38" style="53" width="13.54"/>
    <col collapsed="false" customWidth="true" hidden="false" outlineLevel="0" max="39" min="39" style="53" width="20.63"/>
    <col collapsed="false" customWidth="true" hidden="false" outlineLevel="0" max="40" min="40" style="53" width="12.54"/>
    <col collapsed="false" customWidth="true" hidden="false" outlineLevel="0" max="41" min="41" style="0" width="20.91"/>
    <col collapsed="false" customWidth="true" hidden="false" outlineLevel="0" max="42" min="42" style="53" width="17.63"/>
    <col collapsed="false" customWidth="true" hidden="false" outlineLevel="0" max="43" min="43" style="0" width="15.45"/>
    <col collapsed="false" customWidth="true" hidden="false" outlineLevel="0" max="44" min="44" style="0" width="25.54"/>
    <col collapsed="false" customWidth="true" hidden="false" outlineLevel="0" max="45" min="45" style="53" width="22.45"/>
    <col collapsed="false" customWidth="true" hidden="false" outlineLevel="0" max="46" min="46" style="0" width="15.45"/>
    <col collapsed="false" customWidth="true" hidden="false" outlineLevel="0" max="47" min="47" style="53" width="25.54"/>
    <col collapsed="false" customWidth="true" hidden="false" outlineLevel="0" max="48" min="48" style="53" width="24.54"/>
    <col collapsed="false" customWidth="true" hidden="false" outlineLevel="0" max="49" min="49" style="53" width="17.54"/>
    <col collapsed="false" customWidth="true" hidden="false" outlineLevel="0" max="50" min="50" style="53" width="27.63"/>
    <col collapsed="false" customWidth="true" hidden="false" outlineLevel="0" max="51" min="51" style="53" width="24.54"/>
    <col collapsed="false" customWidth="true" hidden="false" outlineLevel="0" max="52" min="52" style="53" width="17.54"/>
    <col collapsed="false" customWidth="true" hidden="false" outlineLevel="0" max="53" min="53" style="53" width="25.54"/>
    <col collapsed="false" customWidth="true" hidden="false" outlineLevel="0" max="54" min="54" style="53" width="22.45"/>
    <col collapsed="false" customWidth="true" hidden="false" outlineLevel="0" max="55" min="55" style="0" width="16.45"/>
    <col collapsed="false" customWidth="true" hidden="false" outlineLevel="0" max="56" min="56" style="0" width="22.36"/>
    <col collapsed="false" customWidth="true" hidden="false" outlineLevel="0" max="57" min="57" style="0" width="25"/>
    <col collapsed="false" customWidth="true" hidden="false" outlineLevel="0" max="58" min="58" style="0" width="36.45"/>
    <col collapsed="false" customWidth="true" hidden="false" outlineLevel="0" max="59" min="59" style="53" width="28.45"/>
    <col collapsed="false" customWidth="true" hidden="false" outlineLevel="0" max="60" min="60" style="53" width="16.45"/>
    <col collapsed="false" customWidth="true" hidden="false" outlineLevel="0" max="61" min="61" style="53" width="18.54"/>
    <col collapsed="false" customWidth="true" hidden="false" outlineLevel="0" max="62" min="62" style="53" width="24.63"/>
    <col collapsed="false" customWidth="true" hidden="false" outlineLevel="0" max="63" min="63" style="0" width="33.45"/>
    <col collapsed="false" customWidth="true" hidden="false" outlineLevel="0" max="64" min="64" style="0" width="14.63"/>
    <col collapsed="false" customWidth="true" hidden="false" outlineLevel="0" max="65" min="65" style="0" width="12.54"/>
    <col collapsed="false" customWidth="true" hidden="false" outlineLevel="0" max="66" min="66" style="0" width="13.54"/>
    <col collapsed="false" customWidth="true" hidden="false" outlineLevel="0" max="67" min="67" style="53" width="17"/>
    <col collapsed="false" customWidth="true" hidden="false" outlineLevel="0" max="68" min="68" style="53" width="19"/>
    <col collapsed="false" customWidth="true" hidden="false" outlineLevel="0" max="69" min="69" style="53" width="24.63"/>
    <col collapsed="false" customWidth="true" hidden="false" outlineLevel="0" max="70" min="70" style="53" width="25"/>
    <col collapsed="false" customWidth="true" hidden="false" outlineLevel="0" max="71" min="71" style="53" width="22.45"/>
    <col collapsed="false" customWidth="true" hidden="false" outlineLevel="0" max="72" min="72" style="53" width="36.63"/>
    <col collapsed="false" customWidth="true" hidden="false" outlineLevel="0" max="73" min="73" style="53" width="8.45"/>
    <col collapsed="false" customWidth="true" hidden="false" outlineLevel="0" max="74" min="74" style="0" width="9.54"/>
    <col collapsed="false" customWidth="true" hidden="false" outlineLevel="0" max="75" min="75" style="0" width="11.54"/>
    <col collapsed="false" customWidth="true" hidden="false" outlineLevel="0" max="76" min="76" style="0" width="12.36"/>
    <col collapsed="false" customWidth="true" hidden="false" outlineLevel="0" max="77" min="77" style="0" width="21.45"/>
    <col collapsed="false" customWidth="true" hidden="false" outlineLevel="0" max="78" min="78" style="0" width="17.45"/>
    <col collapsed="false" customWidth="true" hidden="false" outlineLevel="0" max="79" min="79" style="0" width="15.36"/>
    <col collapsed="false" customWidth="true" hidden="false" outlineLevel="0" max="80" min="80" style="0" width="29"/>
    <col collapsed="false" customWidth="true" hidden="false" outlineLevel="0" max="81" min="81" style="0" width="28"/>
    <col collapsed="false" customWidth="true" hidden="false" outlineLevel="0" max="82" min="82" style="53" width="10.36"/>
    <col collapsed="false" customWidth="true" hidden="false" outlineLevel="0" max="83" min="83" style="53" width="12"/>
    <col collapsed="false" customWidth="true" hidden="false" outlineLevel="0" max="84" min="84" style="53" width="17.45"/>
    <col collapsed="false" customWidth="true" hidden="false" outlineLevel="0" max="85" min="85" style="53" width="26.54"/>
    <col collapsed="false" customWidth="true" hidden="false" outlineLevel="0" max="86" min="86" style="53" width="24.54"/>
    <col collapsed="false" customWidth="true" hidden="false" outlineLevel="0" max="87" min="87" style="53" width="23.36"/>
    <col collapsed="false" customWidth="true" hidden="false" outlineLevel="0" max="88" min="88" style="53" width="22.45"/>
    <col collapsed="false" customWidth="true" hidden="false" outlineLevel="0" max="89" min="89" style="0" width="22.54"/>
    <col collapsed="false" customWidth="true" hidden="false" outlineLevel="0" max="90" min="90" style="0" width="23.54"/>
    <col collapsed="false" customWidth="true" hidden="false" outlineLevel="0" max="91" min="91" style="53" width="9.54"/>
    <col collapsed="false" customWidth="true" hidden="false" outlineLevel="0" max="92" min="92" style="53" width="20.54"/>
    <col collapsed="false" customWidth="true" hidden="false" outlineLevel="0" max="93" min="93" style="53" width="34.36"/>
    <col collapsed="false" customWidth="true" hidden="false" outlineLevel="0" max="94" min="94" style="53" width="32.54"/>
    <col collapsed="false" customWidth="true" hidden="false" outlineLevel="0" max="95" min="95" style="53" width="19.45"/>
    <col collapsed="false" customWidth="true" hidden="false" outlineLevel="0" max="96" min="96" style="0" width="14.36"/>
    <col collapsed="false" customWidth="true" hidden="false" outlineLevel="0" max="97" min="97" style="0" width="14.63"/>
    <col collapsed="false" customWidth="true" hidden="false" outlineLevel="0" max="98" min="98" style="0" width="47"/>
    <col collapsed="false" customWidth="true" hidden="false" outlineLevel="0" max="99" min="99" style="0" width="31"/>
    <col collapsed="false" customWidth="true" hidden="false" outlineLevel="0" max="100" min="100" style="53" width="36.36"/>
    <col collapsed="false" customWidth="true" hidden="false" outlineLevel="0" max="101" min="101" style="53" width="36.54"/>
    <col collapsed="false" customWidth="true" hidden="false" outlineLevel="0" max="102" min="102" style="0" width="34"/>
    <col collapsed="false" customWidth="true" hidden="false" outlineLevel="0" max="103" min="103" style="0" width="18"/>
    <col collapsed="false" customWidth="true" hidden="false" outlineLevel="0" max="104" min="104" style="0" width="19"/>
    <col collapsed="false" customWidth="true" hidden="false" outlineLevel="0" max="105" min="105" style="0" width="16.09"/>
    <col collapsed="false" customWidth="true" hidden="false" outlineLevel="0" max="106" min="106" style="0" width="12.63"/>
    <col collapsed="false" customWidth="false" hidden="false" outlineLevel="0" max="108" min="107" style="53" width="13.45"/>
    <col collapsed="false" customWidth="false" hidden="false" outlineLevel="0" max="16384" min="126" style="53" width="13.45"/>
  </cols>
  <sheetData>
    <row r="1" s="71" customFormat="true" ht="15" hidden="false" customHeight="true" outlineLevel="0" collapsed="false">
      <c r="A1" s="71" t="s">
        <v>1011</v>
      </c>
      <c r="B1" s="71" t="s">
        <v>2</v>
      </c>
      <c r="C1" s="71" t="s">
        <v>489</v>
      </c>
      <c r="D1" s="71" t="s">
        <v>248</v>
      </c>
      <c r="E1" s="71" t="s">
        <v>1506</v>
      </c>
      <c r="F1" s="71" t="s">
        <v>1251</v>
      </c>
      <c r="G1" s="71" t="s">
        <v>1428</v>
      </c>
      <c r="H1" s="71" t="s">
        <v>490</v>
      </c>
      <c r="I1" s="71" t="s">
        <v>354</v>
      </c>
      <c r="J1" s="71" t="s">
        <v>1410</v>
      </c>
      <c r="K1" s="71" t="s">
        <v>1732</v>
      </c>
      <c r="L1" s="71" t="s">
        <v>1119</v>
      </c>
      <c r="M1" s="71" t="s">
        <v>1122</v>
      </c>
      <c r="N1" s="71" t="s">
        <v>1733</v>
      </c>
      <c r="O1" s="71" t="s">
        <v>1700</v>
      </c>
      <c r="P1" s="71" t="s">
        <v>1734</v>
      </c>
      <c r="Q1" s="71" t="s">
        <v>1735</v>
      </c>
      <c r="R1" s="71" t="s">
        <v>1736</v>
      </c>
      <c r="S1" s="71" t="s">
        <v>1737</v>
      </c>
      <c r="T1" s="71" t="s">
        <v>1508</v>
      </c>
      <c r="U1" s="71" t="s">
        <v>1738</v>
      </c>
      <c r="V1" s="72" t="s">
        <v>1739</v>
      </c>
      <c r="W1" s="71" t="s">
        <v>1740</v>
      </c>
      <c r="X1" s="71" t="s">
        <v>1741</v>
      </c>
      <c r="Y1" s="71" t="s">
        <v>1742</v>
      </c>
      <c r="Z1" s="71" t="s">
        <v>1743</v>
      </c>
      <c r="AA1" s="71" t="s">
        <v>1744</v>
      </c>
      <c r="AB1" s="71" t="s">
        <v>1745</v>
      </c>
      <c r="AC1" s="71" t="s">
        <v>1702</v>
      </c>
      <c r="AD1" s="71" t="s">
        <v>1746</v>
      </c>
      <c r="AE1" s="71" t="s">
        <v>1747</v>
      </c>
      <c r="AF1" s="71" t="s">
        <v>1748</v>
      </c>
      <c r="AG1" s="71" t="s">
        <v>1749</v>
      </c>
      <c r="AH1" s="71" t="s">
        <v>910</v>
      </c>
      <c r="AI1" s="71" t="s">
        <v>1750</v>
      </c>
      <c r="AJ1" s="71" t="s">
        <v>1751</v>
      </c>
      <c r="AK1" s="71" t="s">
        <v>1752</v>
      </c>
      <c r="AL1" s="71" t="s">
        <v>1704</v>
      </c>
      <c r="AM1" s="71" t="s">
        <v>1753</v>
      </c>
      <c r="AN1" s="71" t="s">
        <v>1754</v>
      </c>
      <c r="AO1" s="73" t="s">
        <v>1755</v>
      </c>
      <c r="AP1" s="71" t="s">
        <v>1756</v>
      </c>
      <c r="AQ1" s="73" t="s">
        <v>1757</v>
      </c>
      <c r="AR1" s="73" t="s">
        <v>1758</v>
      </c>
      <c r="AS1" s="71" t="s">
        <v>1759</v>
      </c>
      <c r="AT1" s="73" t="s">
        <v>1760</v>
      </c>
      <c r="AU1" s="71" t="s">
        <v>1761</v>
      </c>
      <c r="AV1" s="71" t="s">
        <v>1762</v>
      </c>
      <c r="AW1" s="71" t="s">
        <v>1763</v>
      </c>
      <c r="AX1" s="71" t="s">
        <v>1764</v>
      </c>
      <c r="AY1" s="71" t="s">
        <v>1765</v>
      </c>
      <c r="AZ1" s="71" t="s">
        <v>1766</v>
      </c>
      <c r="BA1" s="71" t="s">
        <v>1767</v>
      </c>
      <c r="BB1" s="71" t="s">
        <v>1768</v>
      </c>
      <c r="BC1" s="73" t="s">
        <v>1769</v>
      </c>
      <c r="BD1" s="73" t="s">
        <v>1770</v>
      </c>
      <c r="BE1" s="73" t="s">
        <v>1771</v>
      </c>
      <c r="BF1" s="73" t="s">
        <v>1772</v>
      </c>
      <c r="BG1" s="71" t="s">
        <v>1773</v>
      </c>
      <c r="BH1" s="71" t="s">
        <v>1774</v>
      </c>
      <c r="BI1" s="71" t="s">
        <v>1775</v>
      </c>
      <c r="BJ1" s="71" t="s">
        <v>1776</v>
      </c>
      <c r="BK1" s="73" t="s">
        <v>1777</v>
      </c>
      <c r="BL1" s="73" t="s">
        <v>1778</v>
      </c>
      <c r="BM1" s="73" t="s">
        <v>1779</v>
      </c>
      <c r="BN1" s="73" t="s">
        <v>1780</v>
      </c>
      <c r="BO1" s="71" t="s">
        <v>1781</v>
      </c>
      <c r="BP1" s="71" t="s">
        <v>1782</v>
      </c>
      <c r="BQ1" s="71" t="s">
        <v>1783</v>
      </c>
      <c r="BR1" s="71" t="s">
        <v>1784</v>
      </c>
      <c r="BS1" s="71" t="s">
        <v>1785</v>
      </c>
      <c r="BT1" s="71" t="s">
        <v>1786</v>
      </c>
      <c r="BU1" s="71" t="s">
        <v>1787</v>
      </c>
      <c r="BV1" s="73" t="s">
        <v>1545</v>
      </c>
      <c r="BW1" s="73" t="s">
        <v>1546</v>
      </c>
      <c r="BX1" s="73" t="s">
        <v>1450</v>
      </c>
      <c r="BY1" s="73" t="s">
        <v>381</v>
      </c>
      <c r="BZ1" s="73" t="s">
        <v>1555</v>
      </c>
      <c r="CA1" s="73" t="s">
        <v>387</v>
      </c>
      <c r="CB1" s="73" t="s">
        <v>1788</v>
      </c>
      <c r="CC1" s="73" t="s">
        <v>1789</v>
      </c>
      <c r="CD1" s="71" t="s">
        <v>1790</v>
      </c>
      <c r="CE1" s="71" t="s">
        <v>1696</v>
      </c>
      <c r="CF1" s="71" t="s">
        <v>1791</v>
      </c>
      <c r="CG1" s="71" t="s">
        <v>1792</v>
      </c>
      <c r="CH1" s="71" t="s">
        <v>1793</v>
      </c>
      <c r="CI1" s="71" t="s">
        <v>1794</v>
      </c>
      <c r="CJ1" s="71" t="s">
        <v>1795</v>
      </c>
      <c r="CK1" s="73" t="s">
        <v>1467</v>
      </c>
      <c r="CL1" s="73" t="s">
        <v>1796</v>
      </c>
      <c r="CM1" s="71" t="s">
        <v>1797</v>
      </c>
      <c r="CN1" s="71" t="s">
        <v>366</v>
      </c>
      <c r="CO1" s="71" t="s">
        <v>1798</v>
      </c>
      <c r="CP1" s="71" t="s">
        <v>1799</v>
      </c>
      <c r="CQ1" s="71" t="s">
        <v>569</v>
      </c>
      <c r="CR1" s="73" t="s">
        <v>1800</v>
      </c>
      <c r="CS1" s="73" t="s">
        <v>1801</v>
      </c>
      <c r="CT1" s="73" t="s">
        <v>1802</v>
      </c>
      <c r="CU1" s="73" t="s">
        <v>1803</v>
      </c>
      <c r="CV1" s="71" t="s">
        <v>1804</v>
      </c>
      <c r="CW1" s="71" t="s">
        <v>1805</v>
      </c>
      <c r="CX1" s="73" t="s">
        <v>1806</v>
      </c>
      <c r="CY1" s="73" t="s">
        <v>1807</v>
      </c>
      <c r="CZ1" s="73" t="s">
        <v>1808</v>
      </c>
      <c r="DA1" s="73" t="s">
        <v>1809</v>
      </c>
      <c r="DB1" s="73" t="s">
        <v>1810</v>
      </c>
      <c r="DE1" s="73"/>
      <c r="DF1" s="73"/>
      <c r="DG1" s="73"/>
      <c r="DH1" s="73"/>
      <c r="DI1" s="73"/>
      <c r="DJ1" s="73"/>
      <c r="DK1" s="73"/>
      <c r="DL1" s="73"/>
      <c r="DM1" s="73"/>
      <c r="DN1" s="73"/>
      <c r="DO1" s="73"/>
      <c r="DP1" s="73"/>
      <c r="DQ1" s="73"/>
      <c r="DR1" s="73"/>
      <c r="DS1" s="73"/>
      <c r="DT1" s="73"/>
      <c r="DU1" s="73"/>
    </row>
  </sheetData>
  <autoFilter ref="A1:DU167"/>
  <conditionalFormatting sqref="A168:A1048576">
    <cfRule type="duplicateValues" priority="2" aboveAverage="0" equalAverage="0" bottom="0" percent="0" rank="0" text="" dxfId="173"/>
  </conditionalFormatting>
  <conditionalFormatting sqref="A1">
    <cfRule type="duplicateValues" priority="3" aboveAverage="0" equalAverage="0" bottom="0" percent="0" rank="0" text="" dxfId="174"/>
  </conditionalFormatting>
  <conditionalFormatting sqref="A2:A167">
    <cfRule type="duplicateValues" priority="4" aboveAverage="0" equalAverage="0" bottom="0" percent="0" rank="0" text="" dxfId="175"/>
  </conditionalFormatting>
  <dataValidations count="34">
    <dataValidation allowBlank="true" error="Numbers Only" errorStyle="stop" errorTitle="Numbers Only" operator="between" showDropDown="false" showErrorMessage="true" showInputMessage="true" sqref="CF5:CF6 CF9:CF13 CF15:CF1001 CC940:CC1001" type="decimal">
      <formula1>0</formula1>
      <formula2>99999999999</formula2>
    </dataValidation>
    <dataValidation allowBlank="true" errorStyle="stop" operator="greaterThanOrEqual" showDropDown="false" showErrorMessage="true" showInputMessage="true" sqref="A1:AL1 AN1:CP1 CR1:XFD1 E5:F5 H5 DN5:XFD5 A7:B7 F7:F8 K7:O8 R7:S7 AB7:AB8 AF7:AF8 AI7:AI8 BG7:BG8 BI7:BI8 BL7:BL8 CE7:CF8 CL7:CL8 DA7:XFD8 A8:C8 H8 R8:T8 M9:M10 DA9:DA10 H13:H14 A14:C14 E14:F14 K14:P14 R14:T14 Y14:AI14 AO14:AP14 AR14:AS14 AU14:AV14 AX14:AY14 BA14:BB14 BG14:BN14 BS14:BU14 BY14:BZ14 CB14 CE14:CG14 CI14:CL14 CN14:CO14 CR14:DP14" type="none">
      <formula1>0</formula1>
      <formula2>0</formula2>
    </dataValidation>
    <dataValidation allowBlank="true" error="Whole numbers Only. &gt;=0" errorStyle="stop" operator="greaterThanOrEqual" showDropDown="false" showErrorMessage="true" showInputMessage="true" sqref="BC5:BC1001 BE5:BE1001" type="whole">
      <formula1>0</formula1>
      <formula2>0</formula2>
    </dataValidation>
    <dataValidation allowBlank="true" error="Whole numbers only" errorStyle="stop" errorTitle="Whole numbers only" operator="between" showDropDown="false" showErrorMessage="true" showInputMessage="true" sqref="AQ5:AQ1001 AT5:AT1001 AW5:AW1001 AZ5:AZ1001" type="whole">
      <formula1>1</formula1>
      <formula2>9999999999999</formula2>
    </dataValidation>
    <dataValidation allowBlank="true" error="Numbers Only" errorStyle="stop" errorTitle="Numbers Only" operator="between" showDropDown="false" showErrorMessage="true" showInputMessage="true" sqref="CC5:CC939" type="decimal">
      <formula1>1</formula1>
      <formula2>99999999999</formula2>
    </dataValidation>
    <dataValidation allowBlank="true" error="Whole numbers Only. &gt;=1&#10;For Unlimited: -1" errorStyle="stop" operator="greaterThanOrEqual" showDropDown="false" showErrorMessage="true" showInputMessage="true" sqref="V5:V1001" type="whole">
      <formula1>-1</formula1>
      <formula2>0</formula2>
    </dataValidation>
    <dataValidation allowBlank="true" error="Whole numbers Only. &gt;=1" errorStyle="stop" operator="greaterThanOrEqual" showDropDown="false" showErrorMessage="true" showInputMessage="true" sqref="U5:U1001" type="whole">
      <formula1>1</formula1>
      <formula2>0</formula2>
    </dataValidation>
    <dataValidation allowBlank="true" error="Whole Number from 1 to 10" errorStyle="stop" errorTitle="Whole Number from 1 to 10" operator="between" showDropDown="false" showErrorMessage="true" showInputMessage="true" sqref="I5:I1001" type="whole">
      <formula1>1</formula1>
      <formula2>10</formula2>
    </dataValidation>
    <dataValidation allowBlank="true" error="Value between 0 and 1" errorStyle="stop" errorTitle="Value between 0 and 1" operator="between" showDropDown="false" showErrorMessage="true" showInputMessage="true" sqref="CM5:CM1001" type="decimal">
      <formula1>0</formula1>
      <formula2>1</formula2>
    </dataValidation>
    <dataValidation allowBlank="true" error="Numbers Only" errorStyle="stop" errorTitle="Numbers Only" operator="between" showDropDown="false" showErrorMessage="true" showInputMessage="true" sqref="CP5:CP1001" type="decimal">
      <formula1>0</formula1>
      <formula2>999999999999</formula2>
    </dataValidation>
    <dataValidation allowBlank="true" error="Decimal Values only" errorStyle="stop" errorTitle="Decimal Values only" operator="between" showDropDown="false" showErrorMessage="true" showInputMessage="true" sqref="BV5:BX1001" type="decimal">
      <formula1>0</formula1>
      <formula2>999999999999</formula2>
    </dataValidation>
    <dataValidation allowBlank="true" error="Whole Numbers Only" errorStyle="stop" errorTitle="Whole Numbers Only" operator="between" showDropDown="false" showErrorMessage="true" showInputMessage="true" sqref="J5:J1001 CH5:CH1001" type="whole">
      <formula1>0</formula1>
      <formula2>999999999</formula2>
    </dataValidation>
    <dataValidation allowBlank="true" error="Decimal Numbers Only. Between 0 and 1" errorStyle="stop" operator="between" showDropDown="false" showErrorMessage="true" showInputMessage="true" sqref="CD5:CD1001" type="decimal">
      <formula1>0</formula1>
      <formula2>1</formula2>
    </dataValidation>
    <dataValidation allowBlank="true" error="Whole Numbers Only" errorStyle="stop" operator="greaterThanOrEqual" showDropDown="false" showErrorMessage="true" showInputMessage="true" sqref="AL5:AL1001 AN5:AN1001" type="whole">
      <formula1>0</formula1>
      <formula2>0</formula2>
    </dataValidation>
    <dataValidation allowBlank="true" errorStyle="stop" operator="between" showDropDown="false" showErrorMessage="true" showInputMessage="true" sqref="CA5:CA12 CA15:CA939 CB940:CB1001" type="list">
      <formula1>Enums!$O$87:$O$89</formula1>
      <formula2>0</formula2>
    </dataValidation>
    <dataValidation allowBlank="true" errorStyle="stop" operator="between" showDropDown="false" showErrorMessage="true" showInputMessage="true" sqref="CJ7:CJ12 CJ15:CJ939 CK940:CK1001" type="list">
      <formula1>Enums!$O$92:$O$93</formula1>
      <formula2>0</formula2>
    </dataValidation>
    <dataValidation allowBlank="true" errorStyle="stop" operator="between" showDropDown="false" showErrorMessage="true" showInputMessage="true" sqref="CN7:CN12 CN15:CN939 CO940:CO1001" type="list">
      <formula1>Enums!$O$96:$O$98</formula1>
      <formula2>0</formula2>
    </dataValidation>
    <dataValidation allowBlank="true" errorStyle="stop" operator="between" showDropDown="false" showErrorMessage="true" showInputMessage="true" sqref="BY7:BY12 BY15:BY1001" type="list">
      <formula1>Enums!$O$83:$O$84</formula1>
      <formula2>0</formula2>
    </dataValidation>
    <dataValidation allowBlank="true" errorStyle="stop" operator="between" showDropDown="false" showErrorMessage="true" showInputMessage="true" sqref="P5:P12 W5:X6 AJ5:AK12 BD5:BD12 BF5:BF12 E6:E12 W7:AA12 AC7:AE12 AM7:AM12 BK7:BK12 BM7:BN12 BS7:BU12 BZ7:BZ12 CB7:CB12 CI7:CI12 CK7:CK12 CO7:CO12 CR7:CY12 E15:E1001 P15:P167 W15:AA1001 AC15:AE1001 AJ15:AK1001 AM15:AM1001 BD15:BD1001 BF15:BF1001 BK15:BK1001 BM15:BN1001 BS15:BU167 BZ15:BZ939 CB15:CB939 CI15:CI939 CK15:CK939 CO15:CO939 CR15:CY939 P168:Q1001 BQ168:BU1001 CA940:CA1001 CJ940:CJ1001 CL940:CL1001 CR940:CR1001 CV940:CY1001" type="list">
      <formula1>Enums!$A$34:$A$35</formula1>
      <formula2>0</formula2>
    </dataValidation>
    <dataValidation allowBlank="true" errorStyle="stop" operator="between" showDropDown="false" showErrorMessage="true" showInputMessage="true" sqref="AR7:AR12 AU7:AU12 AX7:AX12 BA7:BA12 AR15:AR1001 AU15:AU67 AX15:AX1001 BA15:BA1001 AU76:AU1001" type="list">
      <formula1>Enums!$AC$77:$AC$80</formula1>
      <formula2>0</formula2>
    </dataValidation>
    <dataValidation allowBlank="true" errorStyle="stop" operator="between" showDropDown="false" showErrorMessage="true" showInputMessage="true" sqref="CG7:CG12 CG15:CG939" type="list">
      <formula1>Enums!$K$72:$K$75</formula1>
      <formula2>0</formula2>
    </dataValidation>
    <dataValidation allowBlank="true" errorStyle="stop" operator="between" showDropDown="false" showErrorMessage="true" showInputMessage="true" sqref="AP7:AP12 AP15:AP1001" type="list">
      <formula1>Enums!$Q$39:$Q$42</formula1>
      <formula2>0</formula2>
    </dataValidation>
    <dataValidation allowBlank="true" errorStyle="stop" operator="between" showDropDown="false" showErrorMessage="true" showInputMessage="true" sqref="AG7:AG12 AG15:AG1001" type="list">
      <formula1>Enums!$O$51:$O$54</formula1>
      <formula2>0</formula2>
    </dataValidation>
    <dataValidation allowBlank="true" errorStyle="stop" operator="between" showDropDown="false" showErrorMessage="true" showInputMessage="true" sqref="BH7:BH12 BH15:BH1001" type="list">
      <formula1>Enums!$O$57:$O$59</formula1>
      <formula2>0</formula2>
    </dataValidation>
    <dataValidation allowBlank="true" errorStyle="stop" operator="between" showDropDown="false" showErrorMessage="true" showInputMessage="true" sqref="AO7:AO12 AO15:AO1001" type="list">
      <formula1>Enums!$I$34:$I$36</formula1>
      <formula2>0</formula2>
    </dataValidation>
    <dataValidation allowBlank="true" errorStyle="stop" operator="between" showDropDown="false" showErrorMessage="true" showInputMessage="true" sqref="BB7:BB12 BB15:BB1001" type="list">
      <formula1>Enums!$O$79:$O$80</formula1>
      <formula2>0</formula2>
    </dataValidation>
    <dataValidation allowBlank="true" errorStyle="stop" operator="greaterThanOrEqual" showDropDown="false" showErrorMessage="true" showInputMessage="true" sqref="BJ7:BJ12 BJ15:BJ1001" type="list">
      <formula1>Enums!$A$34:$A$35</formula1>
      <formula2>0</formula2>
    </dataValidation>
    <dataValidation allowBlank="true" errorStyle="stop" operator="between" showDropDown="false" showErrorMessage="true" showInputMessage="true" sqref="CQ7:CQ12 CQ15:CQ1001" type="list">
      <formula1>Enums!$AM$45:$AM$46</formula1>
      <formula2>0</formula2>
    </dataValidation>
    <dataValidation allowBlank="true" errorStyle="stop" operator="between" showDropDown="false" showErrorMessage="true" showInputMessage="true" sqref="AS7:AS12 AS15:AS1001" type="list">
      <formula1>Enums!$O$67:$O$68</formula1>
      <formula2>0</formula2>
    </dataValidation>
    <dataValidation allowBlank="true" errorStyle="stop" operator="between" showDropDown="false" showErrorMessage="true" showInputMessage="true" sqref="AV7:AV12 AV15:AV1001" type="list">
      <formula1>Enums!$O$71:$O$72</formula1>
      <formula2>0</formula2>
    </dataValidation>
    <dataValidation allowBlank="true" errorStyle="stop" operator="between" showDropDown="false" showErrorMessage="true" showInputMessage="true" sqref="AY7:AY12 AY15:AY1001" type="list">
      <formula1>Enums!$O$75:$O$76</formula1>
      <formula2>0</formula2>
    </dataValidation>
    <dataValidation allowBlank="true" errorStyle="stop" operator="between" showDropDown="false" showErrorMessage="true" showInputMessage="true" sqref="G5:G12 G15:G1001" type="list">
      <formula1>Enums!$O$37:$O$44</formula1>
      <formula2>0</formula2>
    </dataValidation>
    <dataValidation allowBlank="true" errorStyle="stop" operator="between" showDropDown="false" showErrorMessage="true" showInputMessage="true" sqref="BO168:BO1001" type="list">
      <formula1>Enums!$O$62:$O$64</formula1>
      <formula2>0</formula2>
    </dataValidation>
    <dataValidation allowBlank="true" errorStyle="stop" operator="between" showDropDown="false" showErrorMessage="true" showInputMessage="true" sqref="AH5:AH12 AH15:AH1001" type="list">
      <formula1>Enums!$O$47:$O$49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4" activeCellId="0" sqref="E14"/>
    </sheetView>
  </sheetViews>
  <sheetFormatPr defaultColWidth="9.36328125" defaultRowHeight="15" customHeight="true" zeroHeight="false" outlineLevelRow="0" outlineLevelCol="0"/>
  <cols>
    <col collapsed="false" customWidth="true" hidden="false" outlineLevel="0" max="1" min="1" style="65" width="23.45"/>
    <col collapsed="false" customWidth="true" hidden="false" outlineLevel="0" max="2" min="2" style="65" width="20.36"/>
    <col collapsed="false" customWidth="true" hidden="false" outlineLevel="0" max="3" min="3" style="65" width="6.45"/>
    <col collapsed="false" customWidth="true" hidden="false" outlineLevel="0" max="4" min="4" style="65" width="30.63"/>
    <col collapsed="false" customWidth="true" hidden="false" outlineLevel="0" max="5" min="5" style="65" width="24.36"/>
    <col collapsed="false" customWidth="false" hidden="false" outlineLevel="0" max="7" min="6" style="65" width="9.36"/>
    <col collapsed="false" customWidth="true" hidden="false" outlineLevel="0" max="8" min="8" style="74" width="17.54"/>
    <col collapsed="false" customWidth="false" hidden="false" outlineLevel="0" max="16384" min="9" style="65" width="9.36"/>
  </cols>
  <sheetData>
    <row r="1" customFormat="false" ht="15.75" hidden="false" customHeight="true" outlineLevel="0" collapsed="false">
      <c r="A1" s="66" t="s">
        <v>1217</v>
      </c>
      <c r="B1" s="66" t="s">
        <v>1219</v>
      </c>
      <c r="C1" s="66" t="s">
        <v>1277</v>
      </c>
      <c r="D1" s="66" t="s">
        <v>1811</v>
      </c>
      <c r="E1" s="66" t="s">
        <v>1812</v>
      </c>
    </row>
  </sheetData>
  <dataValidations count="2">
    <dataValidation allowBlank="true" errorStyle="stop" operator="greaterThanOrEqual" showDropDown="false" showErrorMessage="true" showInputMessage="true" sqref="C1 A15:A22 A24:A25" type="none">
      <formula1>0</formula1>
      <formula2>0</formula2>
    </dataValidation>
    <dataValidation allowBlank="true" error="Whole Numbers Only. &gt;=1" errorStyle="stop" operator="greaterThanOrEqual" showDropDown="false" showErrorMessage="true" showInputMessage="true" sqref="C3:C8 C23:C28 C33:C1001" type="whole">
      <formula1>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185" activePane="bottomLeft" state="frozen"/>
      <selection pane="topLeft" activeCell="A1" activeCellId="0" sqref="A1"/>
      <selection pane="bottomLeft" activeCell="B216" activeCellId="0" sqref="B216"/>
    </sheetView>
  </sheetViews>
  <sheetFormatPr defaultColWidth="8.6796875" defaultRowHeight="15" customHeight="true" zeroHeight="false" outlineLevelRow="0" outlineLevelCol="0"/>
  <cols>
    <col collapsed="false" customWidth="true" hidden="false" outlineLevel="0" max="1" min="1" style="37" width="30.54"/>
    <col collapsed="false" customWidth="true" hidden="false" outlineLevel="0" max="2" min="2" style="0" width="56.54"/>
    <col collapsed="false" customWidth="true" hidden="false" outlineLevel="0" max="3" min="3" style="0" width="7.54"/>
    <col collapsed="false" customWidth="true" hidden="false" outlineLevel="0" max="4" min="4" style="0" width="9.54"/>
    <col collapsed="false" customWidth="true" hidden="false" outlineLevel="0" max="6" min="6" style="0" width="44.45"/>
    <col collapsed="false" customWidth="true" hidden="false" outlineLevel="0" max="8" min="8" style="0" width="27.63"/>
  </cols>
  <sheetData>
    <row r="1" customFormat="false" ht="15.75" hidden="false" customHeight="true" outlineLevel="0" collapsed="false">
      <c r="A1" s="15" t="s">
        <v>1217</v>
      </c>
      <c r="B1" s="15" t="s">
        <v>1219</v>
      </c>
      <c r="C1" s="15" t="s">
        <v>354</v>
      </c>
      <c r="D1" s="15" t="s">
        <v>1189</v>
      </c>
    </row>
  </sheetData>
  <autoFilter ref="A1:K216">
    <sortState ref="A2:K216">
      <sortCondition ref="A2:A216"/>
    </sortState>
  </autoFilter>
  <conditionalFormatting sqref="A213:A215">
    <cfRule type="duplicateValues" priority="2" aboveAverage="0" equalAverage="0" bottom="0" percent="0" rank="0" text="" dxfId="176"/>
  </conditionalFormatting>
  <conditionalFormatting sqref="F213:F215">
    <cfRule type="duplicateValues" priority="3" aboveAverage="0" equalAverage="0" bottom="0" percent="0" rank="0" text="" dxfId="177"/>
  </conditionalFormatting>
  <conditionalFormatting sqref="A207:A212">
    <cfRule type="duplicateValues" priority="4" aboveAverage="0" equalAverage="0" bottom="0" percent="0" rank="0" text="" dxfId="178"/>
  </conditionalFormatting>
  <conditionalFormatting sqref="F204:F205">
    <cfRule type="duplicateValues" priority="5" aboveAverage="0" equalAverage="0" bottom="0" percent="0" rank="0" text="" dxfId="179"/>
  </conditionalFormatting>
  <conditionalFormatting sqref="A120:A122">
    <cfRule type="duplicateValues" priority="6" aboveAverage="0" equalAverage="0" bottom="0" percent="0" rank="0" text="" dxfId="180"/>
  </conditionalFormatting>
  <conditionalFormatting sqref="A117:A118">
    <cfRule type="duplicateValues" priority="7" aboveAverage="0" equalAverage="0" bottom="0" percent="0" rank="0" text="" dxfId="181"/>
  </conditionalFormatting>
  <conditionalFormatting sqref="A119">
    <cfRule type="duplicateValues" priority="8" aboveAverage="0" equalAverage="0" bottom="0" percent="0" rank="0" text="" dxfId="182"/>
  </conditionalFormatting>
  <conditionalFormatting sqref="B90">
    <cfRule type="duplicateValues" priority="9" aboveAverage="0" equalAverage="0" bottom="0" percent="0" rank="0" text="" dxfId="183"/>
  </conditionalFormatting>
  <conditionalFormatting sqref="B87">
    <cfRule type="duplicateValues" priority="10" aboveAverage="0" equalAverage="0" bottom="0" percent="0" rank="0" text="" dxfId="184"/>
  </conditionalFormatting>
  <conditionalFormatting sqref="A87:A88 A90">
    <cfRule type="duplicateValues" priority="11" aboveAverage="0" equalAverage="0" bottom="0" percent="0" rank="0" text="" dxfId="185"/>
  </conditionalFormatting>
  <conditionalFormatting sqref="A61:B61">
    <cfRule type="duplicateValues" priority="12" aboveAverage="0" equalAverage="0" bottom="0" percent="0" rank="0" text="" dxfId="186"/>
  </conditionalFormatting>
  <conditionalFormatting sqref="A61:A62">
    <cfRule type="duplicateValues" priority="13" aboveAverage="0" equalAverage="0" bottom="0" percent="0" rank="0" text="" dxfId="187"/>
  </conditionalFormatting>
  <conditionalFormatting sqref="A60:B60">
    <cfRule type="duplicateValues" priority="14" aboveAverage="0" equalAverage="0" bottom="0" percent="0" rank="0" text="" dxfId="188"/>
  </conditionalFormatting>
  <conditionalFormatting sqref="A2:A3">
    <cfRule type="duplicateValues" priority="15" aboveAverage="0" equalAverage="0" bottom="0" percent="0" rank="0" text="" dxfId="189"/>
  </conditionalFormatting>
  <conditionalFormatting sqref="A63:A64">
    <cfRule type="duplicateValues" priority="16" aboveAverage="0" equalAverage="0" bottom="0" percent="0" rank="0" text="" dxfId="190"/>
  </conditionalFormatting>
  <conditionalFormatting sqref="A230:A232 A4:A57">
    <cfRule type="duplicateValues" priority="17" aboveAverage="0" equalAverage="0" bottom="0" percent="0" rank="0" text="" dxfId="191"/>
  </conditionalFormatting>
  <conditionalFormatting sqref="A74 A64">
    <cfRule type="duplicateValues" priority="18" aboveAverage="0" equalAverage="0" bottom="0" percent="0" rank="0" text="" dxfId="192"/>
  </conditionalFormatting>
  <conditionalFormatting sqref="A65:A73">
    <cfRule type="duplicateValues" priority="19" aboveAverage="0" equalAverage="0" bottom="0" percent="0" rank="0" text="" dxfId="193"/>
  </conditionalFormatting>
  <conditionalFormatting sqref="A233:A234 A75:A86">
    <cfRule type="duplicateValues" priority="20" aboveAverage="0" equalAverage="0" bottom="0" percent="0" rank="0" text="" dxfId="194"/>
  </conditionalFormatting>
  <conditionalFormatting sqref="A229">
    <cfRule type="duplicateValues" priority="21" aboveAverage="0" equalAverage="0" bottom="0" percent="0" rank="0" text="" dxfId="195"/>
  </conditionalFormatting>
  <conditionalFormatting sqref="A228">
    <cfRule type="duplicateValues" priority="22" aboveAverage="0" equalAverage="0" bottom="0" percent="0" rank="0" text="" dxfId="196"/>
  </conditionalFormatting>
  <conditionalFormatting sqref="A227">
    <cfRule type="duplicateValues" priority="23" aboveAverage="0" equalAverage="0" bottom="0" percent="0" rank="0" text="" dxfId="197"/>
  </conditionalFormatting>
  <conditionalFormatting sqref="A1">
    <cfRule type="duplicateValues" priority="24" aboveAverage="0" equalAverage="0" bottom="0" percent="0" rank="0" text="" dxfId="198"/>
  </conditionalFormatting>
  <conditionalFormatting sqref="K14">
    <cfRule type="duplicateValues" priority="25" aboveAverage="0" equalAverage="0" bottom="0" percent="0" rank="0" text="" dxfId="199"/>
  </conditionalFormatting>
  <conditionalFormatting sqref="A235:A1048576 A226 A144:A205">
    <cfRule type="duplicateValues" priority="26" aboveAverage="0" equalAverage="0" bottom="0" percent="0" rank="0" text="" dxfId="200"/>
  </conditionalFormatting>
  <conditionalFormatting sqref="F230:F234 F1:F202">
    <cfRule type="duplicateValues" priority="27" aboveAverage="0" equalAverage="0" bottom="0" percent="0" rank="0" text="" dxfId="201"/>
  </conditionalFormatting>
  <conditionalFormatting sqref="F235:F1048576 F203 F226:F229">
    <cfRule type="duplicateValues" priority="28" aboveAverage="0" equalAverage="0" bottom="0" percent="0" rank="0" text="" dxfId="202"/>
  </conditionalFormatting>
  <dataValidations count="3">
    <dataValidation allowBlank="true" errorStyle="stop" operator="greaterThanOrEqual" showDropDown="false" showErrorMessage="true" showInputMessage="true" sqref="A2:A23 A65:A73 A75:A87 A99 A117:A119 A126:A134 A227:A230 A233:A234" type="none">
      <formula1>0</formula1>
      <formula2>0</formula2>
    </dataValidation>
    <dataValidation allowBlank="true" error="Whole Numbers only" errorStyle="stop" operator="greaterThan" showDropDown="false" showErrorMessage="true" showInputMessage="true" sqref="C1" type="none">
      <formula1>0</formula1>
      <formula2>0</formula2>
    </dataValidation>
    <dataValidation allowBlank="true" error="Whole Numbers only" errorStyle="stop" operator="greaterThan" showDropDown="false" showErrorMessage="true" showInputMessage="true" sqref="C2:C91 C99:C223 C226:C1001" type="whole">
      <formula1>-9999999999999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9.36328125" defaultRowHeight="15" customHeight="true" zeroHeight="false" outlineLevelRow="0" outlineLevelCol="0"/>
  <cols>
    <col collapsed="false" customWidth="true" hidden="false" outlineLevel="0" max="1" min="1" style="1" width="12.36"/>
    <col collapsed="false" customWidth="true" hidden="false" outlineLevel="0" max="2" min="2" style="1" width="11.54"/>
    <col collapsed="false" customWidth="true" hidden="false" outlineLevel="0" max="3" min="3" style="1" width="8.54"/>
    <col collapsed="false" customWidth="true" hidden="false" outlineLevel="0" max="4" min="4" style="1" width="10"/>
    <col collapsed="false" customWidth="true" hidden="false" outlineLevel="0" max="5" min="5" style="1" width="14.45"/>
    <col collapsed="false" customWidth="false" hidden="false" outlineLevel="0" max="16384" min="6" style="1" width="9.36"/>
  </cols>
  <sheetData>
    <row r="1" customFormat="false" ht="15.75" hidden="false" customHeight="true" outlineLevel="0" collapsed="false">
      <c r="A1" s="15" t="s">
        <v>1217</v>
      </c>
      <c r="B1" s="15" t="s">
        <v>1219</v>
      </c>
      <c r="C1" s="15" t="s">
        <v>362</v>
      </c>
      <c r="D1" s="15" t="s">
        <v>1813</v>
      </c>
      <c r="E1" s="15" t="s">
        <v>1814</v>
      </c>
      <c r="F1" s="15" t="s">
        <v>1815</v>
      </c>
    </row>
  </sheetData>
  <dataValidations count="5">
    <dataValidation allowBlank="true" error="Decimal Value between 0 and 1" errorStyle="stop" errorTitle="Decimal Value between 0 and 1" operator="between" showDropDown="false" showErrorMessage="true" showInputMessage="true" sqref="D2:D1001" type="decimal">
      <formula1>0</formula1>
      <formula2>1</formula2>
    </dataValidation>
    <dataValidation allowBlank="true" error="Whole Numbers only. &gt;=1" errorStyle="stop" operator="greaterThanOrEqual" showDropDown="false" showErrorMessage="true" showInputMessage="true" sqref="C2:C1001" type="whole">
      <formula1>1</formula1>
      <formula2>0</formula2>
    </dataValidation>
    <dataValidation allowBlank="true" errorStyle="stop" operator="greaterThanOrEqual" showDropDown="false" showErrorMessage="true" showInputMessage="true" sqref="C1" type="none">
      <formula1>0</formula1>
      <formula2>0</formula2>
    </dataValidation>
    <dataValidation allowBlank="true" errorStyle="stop" operator="between" showDropDown="false" showErrorMessage="true" showInputMessage="true" sqref="E2:E1001" type="list">
      <formula1>Enums!$Q$34:$Q$36</formula1>
      <formula2>0</formula2>
    </dataValidation>
    <dataValidation allowBlank="true" errorStyle="stop" operator="between" showDropDown="false" showErrorMessage="true" showInputMessage="true" sqref="F2:F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9.36328125" defaultRowHeight="15" customHeight="true" zeroHeight="false" outlineLevelRow="0" outlineLevelCol="0"/>
  <cols>
    <col collapsed="false" customWidth="true" hidden="false" outlineLevel="0" max="1" min="1" style="75" width="5.45"/>
    <col collapsed="false" customWidth="true" hidden="false" outlineLevel="0" max="2" min="2" style="75" width="13.45"/>
    <col collapsed="false" customWidth="true" hidden="false" outlineLevel="0" max="3" min="3" style="75" width="5.54"/>
    <col collapsed="false" customWidth="true" hidden="false" outlineLevel="0" max="5" min="4" style="75" width="16.36"/>
    <col collapsed="false" customWidth="true" hidden="false" outlineLevel="0" max="6" min="6" style="75" width="8.63"/>
    <col collapsed="false" customWidth="false" hidden="false" outlineLevel="0" max="16384" min="7" style="75" width="9.36"/>
  </cols>
  <sheetData>
    <row r="1" customFormat="false" ht="15" hidden="false" customHeight="true" outlineLevel="0" collapsed="false">
      <c r="A1" s="76" t="s">
        <v>489</v>
      </c>
      <c r="B1" s="76" t="s">
        <v>1816</v>
      </c>
      <c r="C1" s="76" t="s">
        <v>1363</v>
      </c>
      <c r="D1" s="76" t="s">
        <v>1370</v>
      </c>
      <c r="E1" s="76" t="s">
        <v>1371</v>
      </c>
      <c r="F1" s="76" t="s">
        <v>1817</v>
      </c>
    </row>
  </sheetData>
  <dataValidations count="1">
    <dataValidation allowBlank="true" errorStyle="stop" operator="between" showDropDown="false" showErrorMessage="true" showInputMessage="true" sqref="B2:B1001 F2:F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5.45"/>
    <col collapsed="false" customWidth="true" hidden="false" outlineLevel="0" max="4" min="4" style="1" width="10.54"/>
    <col collapsed="false" customWidth="true" hidden="false" outlineLevel="0" max="5" min="5" style="1" width="8.63"/>
    <col collapsed="false" customWidth="true" hidden="false" outlineLevel="0" max="6" min="6" style="1" width="11"/>
    <col collapsed="false" customWidth="true" hidden="false" outlineLevel="0" max="7" min="7" style="1" width="5.63"/>
    <col collapsed="false" customWidth="false" hidden="false" outlineLevel="0" max="16384" min="8" style="1" width="9.36"/>
  </cols>
  <sheetData>
    <row r="1" customFormat="false" ht="15.75" hidden="false" customHeight="true" outlineLevel="0" collapsed="false">
      <c r="A1" s="15" t="s">
        <v>1011</v>
      </c>
      <c r="B1" s="15" t="s">
        <v>2</v>
      </c>
      <c r="C1" s="15" t="s">
        <v>489</v>
      </c>
      <c r="D1" s="15" t="s">
        <v>1251</v>
      </c>
      <c r="E1" s="15" t="s">
        <v>1362</v>
      </c>
      <c r="F1" s="15" t="s">
        <v>1300</v>
      </c>
      <c r="G1" s="15" t="s">
        <v>265</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9.36328125" defaultRowHeight="15" customHeight="true" zeroHeight="false" outlineLevelRow="0" outlineLevelCol="0"/>
  <cols>
    <col collapsed="false" customWidth="true" hidden="false" outlineLevel="0" max="1" min="1" style="1" width="9"/>
    <col collapsed="false" customWidth="true" hidden="false" outlineLevel="0" max="2" min="2" style="1" width="6.45"/>
    <col collapsed="false" customWidth="true" hidden="false" outlineLevel="0" max="3" min="3" style="1" width="11.36"/>
    <col collapsed="false" customWidth="true" hidden="false" outlineLevel="0" max="4" min="4" style="1" width="11"/>
    <col collapsed="false" customWidth="true" hidden="false" outlineLevel="0" max="5" min="5" style="1" width="10"/>
    <col collapsed="false" customWidth="true" hidden="false" outlineLevel="0" max="6" min="6" style="1" width="23"/>
    <col collapsed="false" customWidth="false" hidden="false" outlineLevel="0" max="16384" min="7" style="1" width="9.36"/>
  </cols>
  <sheetData>
    <row r="1" customFormat="false" ht="15" hidden="false" customHeight="true" outlineLevel="0" collapsed="false">
      <c r="A1" s="15" t="s">
        <v>1818</v>
      </c>
      <c r="B1" s="15" t="s">
        <v>1011</v>
      </c>
      <c r="C1" s="15" t="s">
        <v>2</v>
      </c>
      <c r="D1" s="15" t="s">
        <v>1300</v>
      </c>
      <c r="E1" s="15" t="s">
        <v>1819</v>
      </c>
      <c r="F1" s="15" t="s">
        <v>1820</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9.36328125" defaultRowHeight="15" customHeight="true" zeroHeight="false" outlineLevelRow="0" outlineLevelCol="0"/>
  <cols>
    <col collapsed="false" customWidth="true" hidden="false" outlineLevel="0" max="1" min="1" style="1" width="12.36"/>
    <col collapsed="false" customWidth="true" hidden="false" outlineLevel="0" max="2" min="2" style="1" width="11.54"/>
    <col collapsed="false" customWidth="true" hidden="false" outlineLevel="0" max="3" min="3" style="1" width="7.45"/>
    <col collapsed="false" customWidth="false" hidden="false" outlineLevel="0" max="16384" min="4" style="1" width="9.36"/>
  </cols>
  <sheetData>
    <row r="1" customFormat="false" ht="15.75" hidden="false" customHeight="true" outlineLevel="0" collapsed="false">
      <c r="A1" s="15" t="s">
        <v>1217</v>
      </c>
      <c r="B1" s="15" t="s">
        <v>1219</v>
      </c>
      <c r="C1" s="15" t="s">
        <v>922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5.63"/>
    <col collapsed="false" customWidth="true" hidden="false" outlineLevel="0" max="3" min="3" style="1" width="9"/>
    <col collapsed="false" customWidth="true" hidden="false" outlineLevel="0" max="4" min="4" style="1" width="11"/>
    <col collapsed="false" customWidth="true" hidden="false" outlineLevel="0" max="5" min="5" style="1" width="8.45"/>
    <col collapsed="false" customWidth="false" hidden="false" outlineLevel="0" max="16384" min="6" style="1" width="9.36"/>
  </cols>
  <sheetData>
    <row r="1" s="35" customFormat="true" ht="15.75" hidden="false" customHeight="true" outlineLevel="0" collapsed="false">
      <c r="A1" s="15" t="s">
        <v>1011</v>
      </c>
      <c r="B1" s="15" t="s">
        <v>1821</v>
      </c>
      <c r="C1" s="15" t="s">
        <v>1818</v>
      </c>
      <c r="D1" s="15" t="s">
        <v>1822</v>
      </c>
      <c r="E1" s="15" t="s">
        <v>812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5.453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false" hidden="false" outlineLevel="0" max="3" min="3" style="1" width="5.45"/>
    <col collapsed="false" customWidth="true" hidden="false" outlineLevel="0" max="4" min="4" style="1" width="10.54"/>
    <col collapsed="false" customWidth="true" hidden="false" outlineLevel="0" max="5" min="5" style="1" width="11.45"/>
    <col collapsed="false" customWidth="true" hidden="false" outlineLevel="0" max="6" min="6" style="1" width="15.63"/>
    <col collapsed="false" customWidth="true" hidden="false" outlineLevel="0" max="7" min="7" style="1" width="10.45"/>
    <col collapsed="false" customWidth="true" hidden="false" outlineLevel="0" max="8" min="8" style="1" width="8.36"/>
    <col collapsed="false" customWidth="true" hidden="false" outlineLevel="0" max="9" min="9" style="1" width="10.45"/>
    <col collapsed="false" customWidth="true" hidden="false" outlineLevel="0" max="10" min="10" style="1" width="11"/>
    <col collapsed="false" customWidth="true" hidden="false" outlineLevel="0" max="11" min="11" style="1" width="34.63"/>
    <col collapsed="false" customWidth="true" hidden="false" outlineLevel="0" max="12" min="12" style="1" width="29.45"/>
    <col collapsed="false" customWidth="true" hidden="false" outlineLevel="0" max="13" min="13" style="1" width="18.54"/>
    <col collapsed="false" customWidth="true" hidden="false" outlineLevel="0" max="14" min="14" style="1" width="29.54"/>
    <col collapsed="false" customWidth="true" hidden="false" outlineLevel="0" max="15" min="15" style="1" width="35.36"/>
    <col collapsed="false" customWidth="false" hidden="false" outlineLevel="0" max="16384" min="16" style="1" width="5.45"/>
  </cols>
  <sheetData>
    <row r="1" s="2" customFormat="true" ht="15.75" hidden="false" customHeight="true" outlineLevel="0" collapsed="false">
      <c r="A1" s="15" t="s">
        <v>1011</v>
      </c>
      <c r="B1" s="15" t="s">
        <v>2</v>
      </c>
      <c r="C1" s="15" t="s">
        <v>489</v>
      </c>
      <c r="D1" s="15" t="s">
        <v>1251</v>
      </c>
      <c r="E1" s="15" t="s">
        <v>1823</v>
      </c>
      <c r="F1" s="15" t="s">
        <v>1266</v>
      </c>
      <c r="G1" s="15" t="s">
        <v>790</v>
      </c>
      <c r="H1" s="15" t="s">
        <v>399</v>
      </c>
      <c r="I1" s="15" t="s">
        <v>409</v>
      </c>
      <c r="J1" s="15" t="s">
        <v>1300</v>
      </c>
      <c r="K1" s="15" t="s">
        <v>1824</v>
      </c>
      <c r="L1" s="15" t="s">
        <v>1825</v>
      </c>
      <c r="M1" s="15" t="s">
        <v>1826</v>
      </c>
      <c r="N1" s="15" t="s">
        <v>1827</v>
      </c>
      <c r="O1" s="15" t="s">
        <v>1828</v>
      </c>
    </row>
  </sheetData>
  <dataValidations count="3">
    <dataValidation allowBlank="true" errorStyle="stop" operator="between" showDropDown="false" showErrorMessage="true" showInputMessage="true" sqref="E2:E1001" type="list">
      <formula1>Enums!$S$73:$S$74</formula1>
      <formula2>0</formula2>
    </dataValidation>
    <dataValidation allowBlank="true" errorStyle="stop" operator="between" showDropDown="false" showErrorMessage="true" showInputMessage="true" sqref="H2:H1001" type="list">
      <formula1>Enums!$S$77:$S$79</formula1>
      <formula2>0</formula2>
    </dataValidation>
    <dataValidation allowBlank="true" errorStyle="stop" operator="between" showDropDown="false" showErrorMessage="true" showInputMessage="true" sqref="I2:I1001" type="list">
      <formula1>Enums!$S$82:$S$85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21.00390625" defaultRowHeight="15" customHeight="true" zeroHeight="false" outlineLevelRow="0" outlineLevelCol="0"/>
  <cols>
    <col collapsed="false" customWidth="true" hidden="false" outlineLevel="0" max="1" min="1" style="65" width="3.63"/>
    <col collapsed="false" customWidth="true" hidden="false" outlineLevel="0" max="2" min="2" style="65" width="6.45"/>
    <col collapsed="false" customWidth="true" hidden="false" outlineLevel="0" max="3" min="3" style="65" width="9.63"/>
    <col collapsed="false" customWidth="true" hidden="false" outlineLevel="0" max="4" min="4" style="65" width="7.45"/>
    <col collapsed="false" customWidth="true" hidden="false" outlineLevel="0" max="5" min="5" style="65" width="28"/>
    <col collapsed="false" customWidth="true" hidden="false" outlineLevel="0" max="6" min="6" style="65" width="22.54"/>
    <col collapsed="false" customWidth="true" hidden="false" outlineLevel="0" max="7" min="7" style="65" width="11.54"/>
    <col collapsed="false" customWidth="true" hidden="false" outlineLevel="0" max="8" min="8" style="65" width="22.63"/>
    <col collapsed="false" customWidth="true" hidden="false" outlineLevel="0" max="9" min="9" style="65" width="28.45"/>
    <col collapsed="false" customWidth="true" hidden="false" outlineLevel="0" max="10" min="10" style="65" width="11.54"/>
    <col collapsed="false" customWidth="true" hidden="false" outlineLevel="0" max="11" min="11" style="65" width="14.45"/>
    <col collapsed="false" customWidth="true" hidden="false" outlineLevel="0" max="12" min="12" style="77" width="25.45"/>
    <col collapsed="false" customWidth="true" hidden="false" outlineLevel="0" max="13" min="13" style="65" width="15.63"/>
    <col collapsed="false" customWidth="true" hidden="false" outlineLevel="0" max="14" min="14" style="65" width="17.63"/>
    <col collapsed="false" customWidth="true" hidden="false" outlineLevel="0" max="15" min="15" style="65" width="12.45"/>
    <col collapsed="false" customWidth="true" hidden="false" outlineLevel="0" max="16" min="16" style="65" width="11.54"/>
    <col collapsed="false" customWidth="true" hidden="false" outlineLevel="0" max="17" min="17" style="65" width="3.45"/>
    <col collapsed="false" customWidth="false" hidden="false" outlineLevel="0" max="16384" min="18" style="65" width="21"/>
  </cols>
  <sheetData>
    <row r="1" s="79" customFormat="true" ht="15.75" hidden="false" customHeight="true" outlineLevel="0" collapsed="false">
      <c r="A1" s="66" t="s">
        <v>1088</v>
      </c>
      <c r="B1" s="66" t="s">
        <v>1011</v>
      </c>
      <c r="C1" s="66" t="s">
        <v>1829</v>
      </c>
      <c r="D1" s="66" t="s">
        <v>1830</v>
      </c>
      <c r="E1" s="66" t="s">
        <v>1831</v>
      </c>
      <c r="F1" s="78" t="s">
        <v>1832</v>
      </c>
      <c r="G1" s="66" t="s">
        <v>1833</v>
      </c>
      <c r="H1" s="66" t="s">
        <v>1834</v>
      </c>
      <c r="I1" s="66" t="s">
        <v>1835</v>
      </c>
      <c r="J1" s="66" t="s">
        <v>1836</v>
      </c>
      <c r="L1" s="80"/>
      <c r="N1" s="79" t="s">
        <v>1837</v>
      </c>
      <c r="O1" s="79" t="s">
        <v>1829</v>
      </c>
      <c r="P1" s="79" t="s">
        <v>1830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tableParts>
    <tablePart r:id="rId1"/>
  </tableParts>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2" activeCellId="0" sqref="D2"/>
    </sheetView>
  </sheetViews>
  <sheetFormatPr defaultColWidth="8.6796875" defaultRowHeight="15" customHeight="true" zeroHeight="false" outlineLevelRow="0" outlineLevelCol="0"/>
  <cols>
    <col collapsed="false" customWidth="true" hidden="false" outlineLevel="0" max="1" min="1" style="0" width="65.36"/>
    <col collapsed="false" customWidth="true" hidden="false" outlineLevel="0" max="2" min="2" style="0" width="8.54"/>
    <col collapsed="false" customWidth="true" hidden="false" outlineLevel="0" max="3" min="3" style="0" width="11.36"/>
    <col collapsed="false" customWidth="true" hidden="false" outlineLevel="0" max="4" min="4" style="0" width="9"/>
    <col collapsed="false" customWidth="true" hidden="false" outlineLevel="0" max="5" min="5" style="0" width="10.54"/>
    <col collapsed="false" customWidth="true" hidden="false" outlineLevel="0" max="6" min="6" style="0" width="18.45"/>
    <col collapsed="false" customWidth="true" hidden="false" outlineLevel="0" max="7" min="7" style="0" width="21"/>
    <col collapsed="false" customWidth="true" hidden="false" outlineLevel="0" max="8" min="8" style="0" width="9.54"/>
    <col collapsed="false" customWidth="true" hidden="false" outlineLevel="0" max="9" min="9" style="0" width="10"/>
    <col collapsed="false" customWidth="true" hidden="false" outlineLevel="0" max="10" min="10" style="0" width="7.45"/>
    <col collapsed="false" customWidth="true" hidden="false" outlineLevel="0" max="11" min="11" style="0" width="19.45"/>
  </cols>
  <sheetData>
    <row r="1" s="42" customFormat="true" ht="15" hidden="false" customHeight="true" outlineLevel="0" collapsed="false">
      <c r="A1" s="15" t="s">
        <v>1011</v>
      </c>
      <c r="B1" s="15" t="s">
        <v>1294</v>
      </c>
      <c r="C1" s="15" t="s">
        <v>2</v>
      </c>
      <c r="D1" s="15" t="s">
        <v>489</v>
      </c>
      <c r="E1" s="15" t="s">
        <v>1251</v>
      </c>
      <c r="F1" s="15" t="s">
        <v>426</v>
      </c>
      <c r="G1" s="15" t="s">
        <v>1838</v>
      </c>
    </row>
  </sheetData>
  <conditionalFormatting sqref="N22">
    <cfRule type="duplicateValues" priority="2" aboveAverage="0" equalAverage="0" bottom="0" percent="0" rank="0" text="" dxfId="203"/>
  </conditionalFormatting>
  <conditionalFormatting sqref="A26:A28">
    <cfRule type="duplicateValues" priority="3" aboveAverage="0" equalAverage="0" bottom="0" percent="0" rank="0" text="" dxfId="204"/>
  </conditionalFormatting>
  <dataValidations count="4">
    <dataValidation allowBlank="true" error="Whole Numbers only" errorStyle="stop" operator="greaterThan" showDropDown="false" showErrorMessage="true" showInputMessage="true" sqref="C26:C27" type="whole">
      <formula1>-9999999999999</formula1>
      <formula2>0</formula2>
    </dataValidation>
    <dataValidation allowBlank="true" errorStyle="stop" operator="greaterThanOrEqual" showDropDown="false" showErrorMessage="true" showInputMessage="true" sqref="A26:A28" type="none">
      <formula1>0</formula1>
      <formula2>0</formula2>
    </dataValidation>
    <dataValidation allowBlank="true" errorStyle="stop" operator="between" showDropDown="false" showErrorMessage="true" showInputMessage="true" sqref="G11:G16 F17:F1001" type="list">
      <formula1>Enums!$AE$91:$AE$92</formula1>
      <formula2>0</formula2>
    </dataValidation>
    <dataValidation allowBlank="true" errorStyle="stop" operator="between" showDropDown="false" showErrorMessage="true" showInputMessage="true" sqref="G17:G1001" type="list">
      <formula1>Enums!$U$40:$U$42</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5" activeCellId="0" sqref="B5"/>
    </sheetView>
  </sheetViews>
  <sheetFormatPr defaultColWidth="9.36328125" defaultRowHeight="15" customHeight="true" zeroHeight="false" outlineLevelRow="0" outlineLevelCol="0"/>
  <cols>
    <col collapsed="false" customWidth="true" hidden="false" outlineLevel="0" max="1" min="1" style="1" width="30.54"/>
    <col collapsed="false" customWidth="true" hidden="false" outlineLevel="0" max="2" min="2" style="1" width="44.36"/>
    <col collapsed="false" customWidth="true" hidden="false" outlineLevel="0" max="3" min="3" style="1" width="6.45"/>
    <col collapsed="false" customWidth="true" hidden="false" outlineLevel="0" max="4" min="4" style="1" width="10.36"/>
    <col collapsed="false" customWidth="true" hidden="false" outlineLevel="0" max="5" min="5" style="1" width="11.54"/>
    <col collapsed="false" customWidth="true" hidden="false" outlineLevel="0" max="6" min="6" style="1" width="29.45"/>
    <col collapsed="false" customWidth="true" hidden="false" outlineLevel="0" max="7" min="7" style="1" width="10.54"/>
    <col collapsed="false" customWidth="true" hidden="false" outlineLevel="0" max="8" min="8" style="1" width="26.45"/>
    <col collapsed="false" customWidth="true" hidden="false" outlineLevel="0" max="9" min="9" style="1" width="15.45"/>
    <col collapsed="false" customWidth="true" hidden="false" outlineLevel="0" max="10" min="10" style="1" width="19.63"/>
    <col collapsed="false" customWidth="true" hidden="false" outlineLevel="0" max="11" min="11" style="1" width="38"/>
    <col collapsed="false" customWidth="true" hidden="false" outlineLevel="0" max="12" min="12" style="1" width="18.63"/>
    <col collapsed="false" customWidth="true" hidden="false" outlineLevel="0" max="13" min="13" style="1" width="11.63"/>
    <col collapsed="false" customWidth="true" hidden="false" outlineLevel="0" max="14" min="14" style="1" width="19.45"/>
    <col collapsed="false" customWidth="true" hidden="false" outlineLevel="0" max="15" min="15" style="1" width="17.54"/>
    <col collapsed="false" customWidth="true" hidden="false" outlineLevel="0" max="16" min="16" style="1" width="32.54"/>
    <col collapsed="false" customWidth="true" hidden="false" outlineLevel="0" max="17" min="17" style="1" width="32.36"/>
    <col collapsed="false" customWidth="true" hidden="false" outlineLevel="0" max="18" min="18" style="1" width="37.45"/>
    <col collapsed="false" customWidth="true" hidden="false" outlineLevel="0" max="19" min="19" style="1" width="17.45"/>
    <col collapsed="false" customWidth="true" hidden="false" outlineLevel="0" max="20" min="20" style="1" width="19.36"/>
    <col collapsed="false" customWidth="true" hidden="false" outlineLevel="0" max="21" min="21" style="1" width="16.36"/>
    <col collapsed="false" customWidth="true" hidden="false" outlineLevel="0" max="22" min="22" style="1" width="10.63"/>
    <col collapsed="false" customWidth="true" hidden="false" outlineLevel="0" max="23" min="23" style="1" width="33.63"/>
    <col collapsed="false" customWidth="true" hidden="false" outlineLevel="0" max="24" min="24" style="1" width="17.45"/>
    <col collapsed="false" customWidth="true" hidden="false" outlineLevel="0" max="25" min="25" style="1" width="19.45"/>
    <col collapsed="false" customWidth="true" hidden="false" outlineLevel="0" max="26" min="26" style="1" width="12.63"/>
    <col collapsed="false" customWidth="true" hidden="false" outlineLevel="0" max="27" min="27" style="1" width="25"/>
    <col collapsed="false" customWidth="true" hidden="false" outlineLevel="0" max="28" min="28" style="1" width="17"/>
    <col collapsed="false" customWidth="true" hidden="false" outlineLevel="0" max="29" min="29" style="1" width="17.45"/>
    <col collapsed="false" customWidth="true" hidden="false" outlineLevel="0" max="30" min="30" style="1" width="17.54"/>
    <col collapsed="false" customWidth="true" hidden="false" outlineLevel="0" max="31" min="31" style="1" width="23.45"/>
    <col collapsed="false" customWidth="true" hidden="false" outlineLevel="0" max="32" min="32" style="1" width="29.45"/>
    <col collapsed="false" customWidth="true" hidden="false" outlineLevel="0" max="33" min="33" style="1" width="24.54"/>
    <col collapsed="false" customWidth="true" hidden="false" outlineLevel="0" max="34" min="34" style="1" width="25"/>
    <col collapsed="false" customWidth="true" hidden="false" outlineLevel="0" max="35" min="35" style="1" width="12.54"/>
    <col collapsed="false" customWidth="true" hidden="false" outlineLevel="0" max="36" min="36" style="1" width="10.63"/>
    <col collapsed="false" customWidth="true" hidden="false" outlineLevel="0" max="37" min="37" style="1" width="24.63"/>
    <col collapsed="false" customWidth="true" hidden="false" outlineLevel="0" max="38" min="38" style="1" width="19"/>
    <col collapsed="false" customWidth="true" hidden="false" outlineLevel="0" max="39" min="39" style="1" width="5"/>
    <col collapsed="false" customWidth="true" hidden="false" outlineLevel="0" max="40" min="40" style="1" width="29.36"/>
    <col collapsed="false" customWidth="true" hidden="false" outlineLevel="0" max="41" min="41" style="1" width="25.63"/>
    <col collapsed="false" customWidth="true" hidden="false" outlineLevel="0" max="42" min="42" style="1" width="10.54"/>
    <col collapsed="false" customWidth="true" hidden="false" outlineLevel="0" max="43" min="43" style="1" width="16.63"/>
    <col collapsed="false" customWidth="true" hidden="false" outlineLevel="0" max="44" min="44" style="1" width="17.54"/>
    <col collapsed="false" customWidth="true" hidden="false" outlineLevel="0" max="45" min="45" style="1" width="12.63"/>
    <col collapsed="false" customWidth="true" hidden="false" outlineLevel="0" max="46" min="46" style="1" width="31.45"/>
    <col collapsed="false" customWidth="true" hidden="false" outlineLevel="0" max="47" min="47" style="1" width="28.36"/>
    <col collapsed="false" customWidth="true" hidden="false" outlineLevel="0" max="48" min="48" style="1" width="12.63"/>
    <col collapsed="false" customWidth="true" hidden="false" outlineLevel="0" max="49" min="49" style="1" width="31.45"/>
    <col collapsed="false" customWidth="true" hidden="false" outlineLevel="0" max="50" min="50" style="1" width="28.36"/>
    <col collapsed="false" customWidth="true" hidden="false" outlineLevel="0" max="52" min="51" style="1" width="12.63"/>
    <col collapsed="false" customWidth="true" hidden="false" outlineLevel="0" max="53" min="53" style="1" width="28.36"/>
    <col collapsed="false" customWidth="true" hidden="false" outlineLevel="0" max="56" min="54" style="1" width="12.63"/>
    <col collapsed="false" customWidth="true" hidden="false" outlineLevel="0" max="57" min="57" style="1" width="21.45"/>
    <col collapsed="false" customWidth="false" hidden="false" outlineLevel="0" max="58" min="58" style="1" width="9.36"/>
    <col collapsed="false" customWidth="true" hidden="false" outlineLevel="0" max="59" min="59" style="1" width="24.45"/>
    <col collapsed="false" customWidth="true" hidden="false" outlineLevel="0" max="60" min="60" style="1" width="31.45"/>
    <col collapsed="false" customWidth="true" hidden="false" outlineLevel="0" max="61" min="61" style="1" width="12.63"/>
    <col collapsed="false" customWidth="true" hidden="false" outlineLevel="0" max="62" min="62" style="1" width="31.45"/>
    <col collapsed="false" customWidth="true" hidden="false" outlineLevel="0" max="63" min="63" style="1" width="12.63"/>
    <col collapsed="false" customWidth="true" hidden="false" outlineLevel="0" max="64" min="64" style="1" width="7.45"/>
    <col collapsed="false" customWidth="true" hidden="false" outlineLevel="0" max="65" min="65" style="1" width="9.54"/>
    <col collapsed="false" customWidth="true" hidden="false" outlineLevel="0" max="66" min="66" style="1" width="10"/>
    <col collapsed="false" customWidth="true" hidden="false" outlineLevel="0" max="67" min="67" style="1" width="7.45"/>
    <col collapsed="false" customWidth="true" hidden="false" outlineLevel="0" max="68" min="68" style="1" width="19.45"/>
    <col collapsed="false" customWidth="false" hidden="false" outlineLevel="0" max="16384" min="69" style="1" width="9.36"/>
  </cols>
  <sheetData>
    <row r="1" s="30" customFormat="true" ht="15.75" hidden="false" customHeight="true" outlineLevel="0" collapsed="false">
      <c r="A1" s="15" t="s">
        <v>1839</v>
      </c>
      <c r="B1" s="15" t="s">
        <v>790</v>
      </c>
      <c r="C1" s="15" t="s">
        <v>1277</v>
      </c>
      <c r="D1" s="15" t="s">
        <v>1714</v>
      </c>
      <c r="E1" s="34" t="s">
        <v>1840</v>
      </c>
      <c r="F1" s="15" t="s">
        <v>1841</v>
      </c>
      <c r="G1" s="15" t="s">
        <v>1251</v>
      </c>
      <c r="H1" s="15" t="s">
        <v>424</v>
      </c>
      <c r="I1" s="15" t="s">
        <v>1773</v>
      </c>
      <c r="J1" s="15" t="s">
        <v>505</v>
      </c>
      <c r="K1" s="15" t="s">
        <v>661</v>
      </c>
      <c r="L1" s="15" t="s">
        <v>1842</v>
      </c>
      <c r="M1" s="15" t="s">
        <v>1843</v>
      </c>
      <c r="N1" s="15" t="s">
        <v>1844</v>
      </c>
      <c r="O1" s="15" t="s">
        <v>1845</v>
      </c>
      <c r="P1" s="15" t="s">
        <v>773</v>
      </c>
      <c r="Q1" s="15" t="s">
        <v>1846</v>
      </c>
      <c r="R1" s="15" t="s">
        <v>1847</v>
      </c>
      <c r="S1" s="15" t="s">
        <v>856</v>
      </c>
      <c r="T1" s="15" t="s">
        <v>919</v>
      </c>
      <c r="U1" s="15" t="s">
        <v>1848</v>
      </c>
      <c r="V1" s="15" t="s">
        <v>1849</v>
      </c>
      <c r="W1" s="15" t="s">
        <v>1850</v>
      </c>
      <c r="X1" s="15" t="s">
        <v>1851</v>
      </c>
      <c r="Y1" s="15" t="s">
        <v>1852</v>
      </c>
      <c r="Z1" s="15" t="s">
        <v>1853</v>
      </c>
      <c r="AA1" s="15" t="s">
        <v>1854</v>
      </c>
      <c r="AB1" s="15" t="s">
        <v>1855</v>
      </c>
      <c r="AC1" s="15" t="s">
        <v>1856</v>
      </c>
      <c r="AD1" s="15" t="s">
        <v>1857</v>
      </c>
      <c r="AE1" s="15" t="s">
        <v>1858</v>
      </c>
      <c r="AF1" s="15" t="s">
        <v>1859</v>
      </c>
      <c r="AG1" s="15" t="s">
        <v>1860</v>
      </c>
      <c r="AH1" s="15" t="s">
        <v>1861</v>
      </c>
      <c r="AI1" s="15" t="s">
        <v>1255</v>
      </c>
      <c r="AJ1" s="15" t="s">
        <v>656</v>
      </c>
      <c r="AK1" s="15" t="s">
        <v>1862</v>
      </c>
      <c r="AL1" s="15" t="s">
        <v>1863</v>
      </c>
      <c r="AM1" s="15" t="s">
        <v>543</v>
      </c>
      <c r="AN1" s="15" t="s">
        <v>1864</v>
      </c>
      <c r="AO1" s="15" t="s">
        <v>1865</v>
      </c>
      <c r="AP1" s="34" t="s">
        <v>1866</v>
      </c>
      <c r="AQ1" s="41" t="s">
        <v>1867</v>
      </c>
      <c r="AR1" s="41" t="s">
        <v>1868</v>
      </c>
    </row>
  </sheetData>
  <autoFilter ref="A1:BP48"/>
  <dataValidations count="16">
    <dataValidation allowBlank="true" errorStyle="stop" operator="greaterThanOrEqual" showDropDown="false" showErrorMessage="true" showInputMessage="true" sqref="C1:C102 AC1:AD102 AG1:AH189" type="none">
      <formula1>0</formula1>
      <formula2>0</formula2>
    </dataValidation>
    <dataValidation allowBlank="true" error="Only Whole Numbers between 0 and 100" errorStyle="stop" operator="between" showDropDown="false" showErrorMessage="true" showInputMessage="true" sqref="AE103:AE1001" type="whole">
      <formula1>0</formula1>
      <formula2>100</formula2>
    </dataValidation>
    <dataValidation allowBlank="true" error="Whole Numbers Only. &gt;=1" errorStyle="stop" operator="greaterThanOrEqual" showDropDown="false" showErrorMessage="true" showInputMessage="true" sqref="C190:C1001 AC190:AD1001 AG190:AH1001" type="whole">
      <formula1>1</formula1>
      <formula2>0</formula2>
    </dataValidation>
    <dataValidation allowBlank="true" errorStyle="stop" operator="between" showDropDown="false" showErrorMessage="true" showInputMessage="true" sqref="D103:D189 D190:E1001 W190:Z190 W196:Z1001" type="list">
      <formula1>Enums!$A$34:$A$35</formula1>
      <formula2>0</formula2>
    </dataValidation>
    <dataValidation allowBlank="true" errorStyle="stop" operator="between" showDropDown="false" showErrorMessage="true" showInputMessage="true" sqref="AK190 AK196:AK1001" type="list">
      <formula1>Enums!$U$62:$U$64</formula1>
      <formula2>0</formula2>
    </dataValidation>
    <dataValidation allowBlank="true" errorStyle="stop" operator="between" showDropDown="false" showErrorMessage="true" showInputMessage="true" sqref="AA190 AA196:AA1001" type="list">
      <formula1>Enums!$AC$86:$AC$88</formula1>
      <formula2>0</formula2>
    </dataValidation>
    <dataValidation allowBlank="true" errorStyle="stop" operator="between" showDropDown="false" showErrorMessage="true" showInputMessage="true" sqref="J190 J196:J1001" type="list">
      <formula1>Enums!$AI$40:$AI$48</formula1>
      <formula2>0</formula2>
    </dataValidation>
    <dataValidation allowBlank="true" errorStyle="stop" operator="between" showDropDown="false" showErrorMessage="true" showInputMessage="true" sqref="K190 K196:K1001" type="list">
      <formula1>Enums!$AI$52:$AI$53</formula1>
      <formula2>0</formula2>
    </dataValidation>
    <dataValidation allowBlank="true" errorStyle="stop" operator="between" showDropDown="false" showErrorMessage="true" showInputMessage="true" sqref="P190 P196:P1001" type="list">
      <formula1>Enums!$AI$62:$AI$66</formula1>
      <formula2>0</formula2>
    </dataValidation>
    <dataValidation allowBlank="true" errorStyle="stop" operator="between" showDropDown="false" showErrorMessage="true" showInputMessage="true" sqref="S190 S196:S1001" type="list">
      <formula1>Enums!$AI$70:$AI$73</formula1>
      <formula2>0</formula2>
    </dataValidation>
    <dataValidation allowBlank="true" errorStyle="stop" operator="between" showDropDown="false" showErrorMessage="true" showInputMessage="true" sqref="T190 T196:T1001" type="list">
      <formula1>Enums!$AI$77:$AI$79</formula1>
      <formula2>0</formula2>
    </dataValidation>
    <dataValidation allowBlank="true" errorStyle="stop" operator="between" showDropDown="false" showErrorMessage="true" showInputMessage="true" sqref="V190 V196:V1001" type="list">
      <formula1>Enums!$U$45:$U$50</formula1>
      <formula2>0</formula2>
    </dataValidation>
    <dataValidation allowBlank="true" errorStyle="stop" operator="between" showDropDown="false" showErrorMessage="true" showInputMessage="true" sqref="AJ2 AJ6:AJ48 AJ103:AJ1001" type="list">
      <formula1>Enums!$U$52:$U$59</formula1>
      <formula2>0</formula2>
    </dataValidation>
    <dataValidation allowBlank="true" errorStyle="stop" operator="between" showDropDown="false" showErrorMessage="true" showInputMessage="true" sqref="AL103:AL1001" type="list">
      <formula1>Enums!$U$67:$U$68</formula1>
      <formula2>0</formula2>
    </dataValidation>
    <dataValidation allowBlank="true" errorStyle="stop" operator="between" showDropDown="false" showErrorMessage="true" showInputMessage="true" sqref="AF103:AF1001" type="list">
      <formula1>Enums!$U$71:$U$73</formula1>
      <formula2>0</formula2>
    </dataValidation>
    <dataValidation allowBlank="true" errorStyle="stop" operator="between" showDropDown="false" showErrorMessage="true" showInputMessage="true" sqref="H103:H1001" type="list">
      <formula1>Enums!$AI$34:$AI$36</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26" activeCellId="0" sqref="C26"/>
    </sheetView>
  </sheetViews>
  <sheetFormatPr defaultColWidth="8.6796875" defaultRowHeight="15" customHeight="true" zeroHeight="false" outlineLevelRow="0" outlineLevelCol="0"/>
  <cols>
    <col collapsed="false" customWidth="true" hidden="false" outlineLevel="0" max="1" min="1" style="0" width="52.63"/>
    <col collapsed="false" customWidth="true" hidden="false" outlineLevel="0" max="2" min="2" style="0" width="8.54"/>
    <col collapsed="false" customWidth="true" hidden="false" outlineLevel="0" max="3" min="3" style="0" width="11.36"/>
    <col collapsed="false" customWidth="true" hidden="false" outlineLevel="0" max="5" min="5" style="0" width="10.54"/>
    <col collapsed="false" customWidth="true" hidden="false" outlineLevel="0" max="6" min="6" style="0" width="50.54"/>
    <col collapsed="false" customWidth="true" hidden="false" outlineLevel="0" max="7" min="7" style="0" width="16.36"/>
    <col collapsed="false" customWidth="true" hidden="false" outlineLevel="0" max="10" min="8" style="0" width="7.45"/>
    <col collapsed="false" customWidth="true" hidden="false" outlineLevel="0" max="11" min="11" style="0" width="9.54"/>
    <col collapsed="false" customWidth="true" hidden="false" outlineLevel="0" max="12" min="12" style="0" width="10"/>
    <col collapsed="false" customWidth="true" hidden="false" outlineLevel="0" max="13" min="13" style="0" width="7.45"/>
    <col collapsed="false" customWidth="true" hidden="false" outlineLevel="0" max="14" min="14" style="0" width="96"/>
  </cols>
  <sheetData>
    <row r="1" s="42" customFormat="true" ht="15" hidden="false" customHeight="true" outlineLevel="0" collapsed="false">
      <c r="A1" s="15" t="s">
        <v>1011</v>
      </c>
      <c r="B1" s="15" t="s">
        <v>1294</v>
      </c>
      <c r="C1" s="15" t="s">
        <v>2</v>
      </c>
      <c r="D1" s="15" t="s">
        <v>489</v>
      </c>
      <c r="E1" s="15" t="s">
        <v>1251</v>
      </c>
      <c r="F1" s="15" t="s">
        <v>1839</v>
      </c>
      <c r="G1" s="15" t="s">
        <v>288</v>
      </c>
    </row>
  </sheetData>
  <conditionalFormatting sqref="F2">
    <cfRule type="duplicateValues" priority="2" aboveAverage="0" equalAverage="0" bottom="0" percent="0" rank="0" text="" dxfId="205"/>
  </conditionalFormatting>
  <conditionalFormatting sqref="F5">
    <cfRule type="duplicateValues" priority="3" aboveAverage="0" equalAverage="0" bottom="0" percent="0" rank="0" text="" dxfId="206"/>
  </conditionalFormatting>
  <conditionalFormatting sqref="F8">
    <cfRule type="duplicateValues" priority="4" aboveAverage="0" equalAverage="0" bottom="0" percent="0" rank="0" text="" dxfId="207"/>
  </conditionalFormatting>
  <conditionalFormatting sqref="F6">
    <cfRule type="duplicateValues" priority="5" aboveAverage="0" equalAverage="0" bottom="0" percent="0" rank="0" text="" dxfId="208"/>
  </conditionalFormatting>
  <dataValidations count="1">
    <dataValidation allowBlank="true" errorStyle="stop" operator="greaterThanOrEqual" showDropDown="false" showErrorMessage="true" showInputMessage="true" sqref="A2:A8 F2:F8"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8" activeCellId="0" sqref="B28"/>
    </sheetView>
  </sheetViews>
  <sheetFormatPr defaultColWidth="8.6796875" defaultRowHeight="15" customHeight="true" zeroHeight="false" outlineLevelRow="0" outlineLevelCol="0"/>
  <cols>
    <col collapsed="false" customWidth="true" hidden="false" outlineLevel="0" max="1" min="1" style="0" width="21.54"/>
    <col collapsed="false" customWidth="true" hidden="false" outlineLevel="0" max="2" min="2" style="0" width="10.45"/>
    <col collapsed="false" customWidth="true" hidden="false" outlineLevel="0" max="3" min="3" style="0" width="13.45"/>
    <col collapsed="false" customWidth="true" hidden="false" outlineLevel="0" max="6" min="4" style="0" width="7.45"/>
    <col collapsed="false" customWidth="true" hidden="false" outlineLevel="0" max="7" min="7" style="0" width="9.54"/>
    <col collapsed="false" customWidth="true" hidden="false" outlineLevel="0" max="8" min="8" style="0" width="10"/>
    <col collapsed="false" customWidth="true" hidden="false" outlineLevel="0" max="9" min="9" style="0" width="7.45"/>
    <col collapsed="false" customWidth="true" hidden="false" outlineLevel="0" max="10" min="10" style="0" width="96"/>
  </cols>
  <sheetData>
    <row r="1" s="42" customFormat="true" ht="15" hidden="false" customHeight="true" outlineLevel="0" collapsed="false">
      <c r="A1" s="15" t="s">
        <v>1869</v>
      </c>
      <c r="B1" s="15" t="s">
        <v>790</v>
      </c>
      <c r="C1" s="15" t="s">
        <v>1870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34" activeCellId="0" sqref="J34"/>
    </sheetView>
  </sheetViews>
  <sheetFormatPr defaultColWidth="8.6796875" defaultRowHeight="14.25" customHeight="false" zeroHeight="false" outlineLevelRow="0" outlineLevelCol="0"/>
  <cols>
    <col collapsed="false" customWidth="true" hidden="false" outlineLevel="0" max="1" min="1" style="0" width="5"/>
    <col collapsed="false" customWidth="true" hidden="false" outlineLevel="0" max="2" min="2" style="0" width="14.45"/>
    <col collapsed="false" customWidth="true" hidden="false" outlineLevel="0" max="3" min="3" style="0" width="10.54"/>
    <col collapsed="false" customWidth="true" hidden="false" outlineLevel="0" max="4" min="4" style="0" width="10"/>
    <col collapsed="false" customWidth="true" hidden="false" outlineLevel="0" max="5" min="5" style="0" width="10.36"/>
  </cols>
  <sheetData>
    <row r="1" customFormat="false" ht="14.25" hidden="false" customHeight="false" outlineLevel="0" collapsed="false">
      <c r="A1" s="81" t="s">
        <v>543</v>
      </c>
      <c r="B1" s="82" t="s">
        <v>1871</v>
      </c>
      <c r="C1" s="81" t="s">
        <v>1872</v>
      </c>
      <c r="D1" s="81" t="s">
        <v>1873</v>
      </c>
      <c r="E1" s="81" t="s">
        <v>657</v>
      </c>
    </row>
  </sheetData>
  <dataValidations count="4">
    <dataValidation allowBlank="true" errorStyle="stop" operator="between" showDropDown="false" showErrorMessage="true" showInputMessage="true" sqref="E2:E1001" type="list">
      <formula1>Enums!$W$40:$W$47</formula1>
      <formula2>0</formula2>
    </dataValidation>
    <dataValidation allowBlank="true" errorStyle="stop" operator="between" showDropDown="false" showErrorMessage="true" showInputMessage="true" sqref="D2:D1001" type="list">
      <formula1>Enums!$AK$123:$AK$124</formula1>
      <formula2>0</formula2>
    </dataValidation>
    <dataValidation allowBlank="true" errorStyle="stop" operator="between" showDropDown="false" showErrorMessage="true" showInputMessage="true" sqref="C2:C1001" type="list">
      <formula1>Enums!$AK$118:$AK$120</formula1>
      <formula2>0</formula2>
    </dataValidation>
    <dataValidation allowBlank="true" errorStyle="stop" operator="between" showDropDown="false" showErrorMessage="true" showInputMessage="true" sqref="B2:B1001" type="list">
      <formula1>Enums!$AK$113:$AK$115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AI2" activePane="bottomRight" state="frozen"/>
      <selection pane="topLeft" activeCell="A1" activeCellId="0" sqref="A1"/>
      <selection pane="topRight" activeCell="AI1" activeCellId="0" sqref="AI1"/>
      <selection pane="bottomLeft" activeCell="A2" activeCellId="0" sqref="A2"/>
      <selection pane="bottomRight" activeCell="J34" activeCellId="0" sqref="J34"/>
    </sheetView>
  </sheetViews>
  <sheetFormatPr defaultColWidth="32.453125" defaultRowHeight="14.25" customHeight="false" zeroHeight="false" outlineLevelRow="0" outlineLevelCol="0"/>
  <cols>
    <col collapsed="false" customWidth="true" hidden="false" outlineLevel="0" max="1" min="1" style="39" width="6.45"/>
    <col collapsed="false" customWidth="true" hidden="false" outlineLevel="0" max="2" min="2" style="39" width="11.36"/>
    <col collapsed="false" customWidth="true" hidden="false" outlineLevel="0" max="3" min="3" style="39" width="5.45"/>
    <col collapsed="false" customWidth="true" hidden="false" outlineLevel="0" max="4" min="4" style="39" width="10.54"/>
    <col collapsed="false" customWidth="true" hidden="false" outlineLevel="0" max="5" min="5" style="39" width="9.54"/>
    <col collapsed="false" customWidth="true" hidden="false" outlineLevel="0" max="6" min="6" style="39" width="10.45"/>
    <col collapsed="false" customWidth="true" hidden="false" outlineLevel="0" max="7" min="7" style="39" width="10"/>
    <col collapsed="false" customWidth="true" hidden="false" outlineLevel="0" max="8" min="8" style="39" width="22"/>
    <col collapsed="false" customWidth="true" hidden="false" outlineLevel="0" max="9" min="9" style="39" width="38.63"/>
    <col collapsed="false" customWidth="true" hidden="false" outlineLevel="0" max="10" min="10" style="39" width="20.36"/>
    <col collapsed="false" customWidth="true" hidden="false" outlineLevel="0" max="11" min="11" style="39" width="20.45"/>
    <col collapsed="false" customWidth="true" hidden="false" outlineLevel="0" max="12" min="12" style="39" width="24.54"/>
    <col collapsed="false" customWidth="true" hidden="false" outlineLevel="0" max="13" min="13" style="39" width="25"/>
    <col collapsed="false" customWidth="true" hidden="false" outlineLevel="0" max="14" min="14" style="39" width="34"/>
    <col collapsed="false" customWidth="true" hidden="false" outlineLevel="0" max="15" min="15" style="39" width="45.45"/>
    <col collapsed="false" customWidth="true" hidden="false" outlineLevel="0" max="16" min="16" style="39" width="44"/>
    <col collapsed="false" customWidth="true" hidden="false" outlineLevel="0" max="17" min="17" style="39" width="17.54"/>
    <col collapsed="false" customWidth="true" hidden="false" outlineLevel="0" max="18" min="18" style="39" width="45.36"/>
    <col collapsed="false" customWidth="true" hidden="false" outlineLevel="0" max="19" min="19" style="39" width="24.45"/>
    <col collapsed="false" customWidth="true" hidden="false" outlineLevel="0" max="20" min="20" style="39" width="23.45"/>
    <col collapsed="false" customWidth="true" hidden="false" outlineLevel="0" max="21" min="21" style="39" width="25.36"/>
    <col collapsed="false" customWidth="true" hidden="false" outlineLevel="0" max="22" min="22" style="39" width="22.36"/>
    <col collapsed="false" customWidth="true" hidden="false" outlineLevel="0" max="23" min="23" style="39" width="22.63"/>
    <col collapsed="false" customWidth="true" hidden="false" outlineLevel="0" max="24" min="24" style="39" width="22"/>
    <col collapsed="false" customWidth="true" hidden="false" outlineLevel="0" max="25" min="25" style="39" width="26"/>
    <col collapsed="false" customWidth="true" hidden="false" outlineLevel="0" max="26" min="26" style="39" width="25.54"/>
    <col collapsed="false" customWidth="true" hidden="false" outlineLevel="0" max="27" min="27" style="39" width="18.54"/>
    <col collapsed="false" customWidth="true" hidden="false" outlineLevel="0" max="29" min="28" style="39" width="25.54"/>
    <col collapsed="false" customWidth="true" hidden="false" outlineLevel="0" max="30" min="30" style="39" width="18.54"/>
    <col collapsed="false" customWidth="true" hidden="false" outlineLevel="0" max="31" min="31" style="39" width="25.54"/>
    <col collapsed="false" customWidth="true" hidden="false" outlineLevel="0" max="33" min="32" style="39" width="24.45"/>
    <col collapsed="false" customWidth="true" hidden="false" outlineLevel="0" max="34" min="34" style="39" width="36"/>
    <col collapsed="false" customWidth="true" hidden="false" outlineLevel="0" max="35" min="35" style="83" width="23.36"/>
    <col collapsed="false" customWidth="true" hidden="false" outlineLevel="0" max="36" min="36" style="83" width="20.54"/>
    <col collapsed="false" customWidth="true" hidden="false" outlineLevel="0" max="37" min="37" style="39" width="24"/>
    <col collapsed="false" customWidth="true" hidden="false" outlineLevel="0" max="38" min="38" style="39" width="24.45"/>
    <col collapsed="false" customWidth="true" hidden="false" outlineLevel="0" max="39" min="39" style="39" width="14.45"/>
    <col collapsed="false" customWidth="true" hidden="false" outlineLevel="0" max="40" min="40" style="39" width="15.63"/>
    <col collapsed="false" customWidth="true" hidden="false" outlineLevel="0" max="41" min="41" style="39" width="14.45"/>
    <col collapsed="false" customWidth="true" hidden="false" outlineLevel="0" max="42" min="42" style="39" width="34.54"/>
    <col collapsed="false" customWidth="true" hidden="false" outlineLevel="0" max="43" min="43" style="39" width="26"/>
    <col collapsed="false" customWidth="true" hidden="false" outlineLevel="0" max="44" min="44" style="39" width="22.36"/>
    <col collapsed="false" customWidth="true" hidden="false" outlineLevel="0" max="45" min="45" style="39" width="15.63"/>
    <col collapsed="false" customWidth="true" hidden="false" outlineLevel="0" max="46" min="46" style="39" width="16"/>
    <col collapsed="false" customWidth="true" hidden="false" outlineLevel="0" max="47" min="47" style="39" width="14.54"/>
    <col collapsed="false" customWidth="true" hidden="false" outlineLevel="0" max="48" min="48" style="39" width="15"/>
    <col collapsed="false" customWidth="true" hidden="false" outlineLevel="0" max="49" min="49" style="39" width="29.45"/>
    <col collapsed="false" customWidth="true" hidden="false" outlineLevel="0" max="50" min="50" style="39" width="30.45"/>
    <col collapsed="false" customWidth="true" hidden="false" outlineLevel="0" max="51" min="51" style="39" width="8.63"/>
    <col collapsed="false" customWidth="true" hidden="false" outlineLevel="0" max="52" min="52" style="39" width="27.54"/>
    <col collapsed="false" customWidth="true" hidden="false" outlineLevel="0" max="53" min="53" style="39" width="5.63"/>
    <col collapsed="false" customWidth="false" hidden="false" outlineLevel="0" max="54" min="54" style="39" width="32.45"/>
    <col collapsed="false" customWidth="true" hidden="false" outlineLevel="0" max="55" min="55" style="39" width="20.45"/>
    <col collapsed="false" customWidth="false" hidden="false" outlineLevel="0" max="16384" min="56" style="39" width="32.45"/>
  </cols>
  <sheetData>
    <row r="1" s="45" customFormat="true" ht="14.25" hidden="false" customHeight="false" outlineLevel="0" collapsed="false">
      <c r="A1" s="15" t="s">
        <v>1011</v>
      </c>
      <c r="B1" s="15" t="s">
        <v>2</v>
      </c>
      <c r="C1" s="15" t="s">
        <v>489</v>
      </c>
      <c r="D1" s="15" t="s">
        <v>1251</v>
      </c>
      <c r="E1" s="15" t="s">
        <v>1189</v>
      </c>
      <c r="F1" s="15" t="s">
        <v>790</v>
      </c>
      <c r="G1" s="15" t="s">
        <v>1873</v>
      </c>
      <c r="H1" s="15" t="s">
        <v>1874</v>
      </c>
      <c r="I1" s="15" t="s">
        <v>1875</v>
      </c>
      <c r="J1" s="15" t="s">
        <v>1876</v>
      </c>
      <c r="K1" s="15" t="s">
        <v>1877</v>
      </c>
      <c r="L1" s="15" t="s">
        <v>1860</v>
      </c>
      <c r="M1" s="15" t="s">
        <v>1861</v>
      </c>
      <c r="N1" s="15" t="s">
        <v>1878</v>
      </c>
      <c r="O1" s="15" t="s">
        <v>1879</v>
      </c>
      <c r="P1" s="15" t="s">
        <v>1880</v>
      </c>
      <c r="Q1" s="15" t="s">
        <v>1881</v>
      </c>
      <c r="R1" s="15" t="s">
        <v>1882</v>
      </c>
      <c r="S1" s="15" t="s">
        <v>1883</v>
      </c>
      <c r="T1" s="15" t="s">
        <v>1884</v>
      </c>
      <c r="U1" s="41" t="s">
        <v>1885</v>
      </c>
      <c r="V1" s="41" t="s">
        <v>1886</v>
      </c>
      <c r="W1" s="41" t="s">
        <v>1887</v>
      </c>
      <c r="X1" s="41" t="s">
        <v>1888</v>
      </c>
      <c r="Y1" s="41" t="s">
        <v>1889</v>
      </c>
      <c r="Z1" s="41" t="s">
        <v>1890</v>
      </c>
      <c r="AA1" s="41" t="s">
        <v>1891</v>
      </c>
      <c r="AB1" s="41" t="s">
        <v>1892</v>
      </c>
      <c r="AC1" s="41" t="s">
        <v>1893</v>
      </c>
      <c r="AD1" s="41" t="s">
        <v>1894</v>
      </c>
      <c r="AE1" s="41" t="s">
        <v>1895</v>
      </c>
      <c r="AF1" s="41" t="s">
        <v>1896</v>
      </c>
      <c r="AG1" s="15" t="s">
        <v>676</v>
      </c>
      <c r="AH1" s="15" t="s">
        <v>1897</v>
      </c>
      <c r="AI1" s="15" t="s">
        <v>1898</v>
      </c>
      <c r="AJ1" s="15" t="s">
        <v>1899</v>
      </c>
      <c r="AK1" s="15" t="s">
        <v>1900</v>
      </c>
      <c r="AL1" s="15" t="s">
        <v>1901</v>
      </c>
      <c r="AM1" s="15" t="s">
        <v>1902</v>
      </c>
      <c r="AN1" s="15" t="s">
        <v>1903</v>
      </c>
      <c r="AO1" s="15" t="s">
        <v>1904</v>
      </c>
      <c r="AP1" s="15" t="s">
        <v>1905</v>
      </c>
      <c r="AQ1" s="15" t="s">
        <v>718</v>
      </c>
      <c r="AR1" s="15" t="s">
        <v>778</v>
      </c>
      <c r="AS1" s="15" t="s">
        <v>873</v>
      </c>
      <c r="AT1" s="15" t="s">
        <v>1906</v>
      </c>
      <c r="AU1" s="15" t="s">
        <v>1907</v>
      </c>
      <c r="AV1" s="15" t="s">
        <v>1908</v>
      </c>
      <c r="AW1" s="15" t="s">
        <v>1909</v>
      </c>
      <c r="AX1" s="15" t="s">
        <v>1910</v>
      </c>
      <c r="AY1" s="41" t="s">
        <v>297</v>
      </c>
      <c r="AZ1" s="15" t="s">
        <v>1911</v>
      </c>
      <c r="BA1" s="15" t="s">
        <v>265</v>
      </c>
    </row>
  </sheetData>
  <dataValidations count="15">
    <dataValidation allowBlank="true" errorStyle="stop" operator="between" showDropDown="false" showErrorMessage="true" showInputMessage="true" sqref="H1001" type="list">
      <formula1>"AverageAndRange,AverageAndStandardDeviation,MedianAndRange,IndividualsAndMovingRange,FractionDefective,NumberDefective,NumberOfDefects,NumberOfDefectsPerUnit"</formula1>
      <formula2>0</formula2>
    </dataValidation>
    <dataValidation allowBlank="true" errorStyle="stop" operator="greaterThanOrEqual" showDropDown="false" showErrorMessage="true" showInputMessage="true" sqref="J1:M1 O1:P1 S1:T1 AH1 AP1" type="none">
      <formula1>0</formula1>
      <formula2>0</formula2>
    </dataValidation>
    <dataValidation allowBlank="true" errorStyle="stop" operator="between" showDropDown="false" showErrorMessage="true" showInputMessage="true" sqref="BB3:BC1001" type="list">
      <formula1>"Yes,No"</formula1>
      <formula2>0</formula2>
    </dataValidation>
    <dataValidation allowBlank="true" error="Whole Numbers Only" errorStyle="stop" operator="greaterThanOrEqual" showDropDown="false" showErrorMessage="true" showInputMessage="true" sqref="J2:M1001 O2:P1001 S2:T1001 AH2:AH1001 AP2:AP1001" type="whole">
      <formula1>1</formula1>
      <formula2>0</formula2>
    </dataValidation>
    <dataValidation allowBlank="true" error="Numbers Only" errorStyle="stop" operator="between" showDropDown="false" showErrorMessage="true" showInputMessage="true" sqref="V2:X1001" type="decimal">
      <formula1>-9.99999999999999E+025</formula1>
      <formula2>9.99999999999999E+027</formula2>
    </dataValidation>
    <dataValidation allowBlank="true" error="Numbers Only" errorStyle="stop" operator="between" showDropDown="false" showErrorMessage="true" showInputMessage="true" sqref="Z2:AF1001" type="decimal">
      <formula1>-9.99999999999999E+025</formula1>
      <formula2>9.99999999999999E+026</formula2>
    </dataValidation>
    <dataValidation allowBlank="true" error="Numbers Only" errorStyle="stop" operator="greaterThan" showDropDown="false" showErrorMessage="true" showInputMessage="true" sqref="AT2:AT1001" type="decimal">
      <formula1>0</formula1>
      <formula2>0</formula2>
    </dataValidation>
    <dataValidation allowBlank="true" error="Numbers Only" errorStyle="stop" operator="between" showDropDown="false" showErrorMessage="true" showInputMessage="true" sqref="AU2:AV1001" type="decimal">
      <formula1>-9.99999999999999E+018</formula1>
      <formula2>9.99999999999999E+018</formula2>
    </dataValidation>
    <dataValidation allowBlank="true" errorStyle="stop" operator="between" showDropDown="false" showErrorMessage="true" showInputMessage="true" sqref="E2:E1001 I2:I1001 N2:N1001 Q2:R1001 Y2:Y1001 AK2:AO1001 AZ2:AZ1001" type="list">
      <formula1>Enums!$A$34:$A$35</formula1>
      <formula2>0</formula2>
    </dataValidation>
    <dataValidation allowBlank="true" errorStyle="stop" operator="between" showDropDown="false" showErrorMessage="true" showInputMessage="true" sqref="G2:G1001" type="list">
      <formula1>Enums!$W$40:$W$47</formula1>
      <formula2>0</formula2>
    </dataValidation>
    <dataValidation allowBlank="true" errorStyle="stop" operator="between" showDropDown="false" showErrorMessage="true" showInputMessage="true" sqref="U2:U1001" type="list">
      <formula1>Enums!$W$50:$W$51</formula1>
      <formula2>0</formula2>
    </dataValidation>
    <dataValidation allowBlank="true" errorStyle="stop" operator="between" showDropDown="false" showErrorMessage="true" showInputMessage="true" sqref="AG2:AG1001" type="list">
      <formula1>Enums!$W$54:$W$55</formula1>
      <formula2>0</formula2>
    </dataValidation>
    <dataValidation allowBlank="true" errorStyle="stop" operator="between" showDropDown="false" showErrorMessage="true" showInputMessage="true" sqref="AQ2:AQ1001" type="list">
      <formula1>Enums!$W$58:$W$60</formula1>
      <formula2>0</formula2>
    </dataValidation>
    <dataValidation allowBlank="true" errorStyle="stop" operator="between" showDropDown="false" showErrorMessage="true" showInputMessage="true" sqref="AR2:AR1001" type="list">
      <formula1>Enums!$W$63:$W$69</formula1>
      <formula2>0</formula2>
    </dataValidation>
    <dataValidation allowBlank="true" errorStyle="stop" operator="between" showDropDown="false" showErrorMessage="true" showInputMessage="true" sqref="AS2:AS1001" type="list">
      <formula1>Enums!$W$72:$W$73</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J34" activeCellId="0" sqref="J34"/>
    </sheetView>
  </sheetViews>
  <sheetFormatPr defaultColWidth="9.36328125" defaultRowHeight="15" customHeight="true" zeroHeight="false" outlineLevelRow="0" outlineLevelCol="0"/>
  <cols>
    <col collapsed="false" customWidth="true" hidden="false" outlineLevel="0" max="1" min="1" style="1" width="5.63"/>
    <col collapsed="false" customWidth="true" hidden="false" outlineLevel="0" max="2" min="2" style="1" width="6.45"/>
    <col collapsed="false" customWidth="true" hidden="false" outlineLevel="0" max="3" min="3" style="1" width="12.36"/>
    <col collapsed="false" customWidth="true" hidden="false" outlineLevel="0" max="4" min="4" style="1" width="11.36"/>
    <col collapsed="false" customWidth="true" hidden="false" outlineLevel="0" max="5" min="5" style="1" width="10.54"/>
    <col collapsed="false" customWidth="true" hidden="false" outlineLevel="0" max="6" min="6" style="1" width="34"/>
    <col collapsed="false" customWidth="true" hidden="false" outlineLevel="0" max="7" min="7" style="1" width="15.54"/>
    <col collapsed="false" customWidth="true" hidden="false" outlineLevel="0" max="8" min="8" style="1" width="45.36"/>
    <col collapsed="false" customWidth="true" hidden="false" outlineLevel="0" max="9" min="9" style="1" width="15.45"/>
    <col collapsed="false" customWidth="true" hidden="false" outlineLevel="0" max="10" min="10" style="1" width="16"/>
    <col collapsed="false" customWidth="true" hidden="false" outlineLevel="0" max="11" min="11" style="1" width="15.45"/>
    <col collapsed="false" customWidth="true" hidden="false" outlineLevel="0" max="12" min="12" style="1" width="26"/>
    <col collapsed="false" customWidth="true" hidden="false" outlineLevel="0" max="13" min="13" style="1" width="18.63"/>
    <col collapsed="false" customWidth="true" hidden="false" outlineLevel="0" max="14" min="14" style="1" width="11.63"/>
    <col collapsed="false" customWidth="true" hidden="false" outlineLevel="0" max="16" min="15" style="1" width="18.63"/>
    <col collapsed="false" customWidth="true" hidden="false" outlineLevel="0" max="17" min="17" style="1" width="11.63"/>
    <col collapsed="false" customWidth="true" hidden="false" outlineLevel="0" max="18" min="18" style="1" width="18.63"/>
    <col collapsed="false" customWidth="true" hidden="false" outlineLevel="0" max="19" min="19" style="1" width="17.54"/>
    <col collapsed="false" customWidth="true" hidden="false" outlineLevel="0" max="20" min="20" style="1" width="27.54"/>
    <col collapsed="false" customWidth="true" hidden="false" outlineLevel="0" max="21" min="21" style="1" width="15.63"/>
    <col collapsed="false" customWidth="true" hidden="false" outlineLevel="0" max="22" min="22" style="1" width="14.54"/>
    <col collapsed="false" customWidth="true" hidden="false" outlineLevel="0" max="23" min="23" style="1" width="15"/>
    <col collapsed="false" customWidth="true" hidden="false" outlineLevel="0" max="24" min="24" style="1" width="16"/>
    <col collapsed="false" customWidth="false" hidden="false" outlineLevel="0" max="16384" min="25" style="1" width="9.36"/>
  </cols>
  <sheetData>
    <row r="1" customFormat="false" ht="15.75" hidden="false" customHeight="true" outlineLevel="0" collapsed="false">
      <c r="A1" s="15" t="s">
        <v>657</v>
      </c>
      <c r="B1" s="15" t="s">
        <v>1011</v>
      </c>
      <c r="C1" s="15" t="s">
        <v>1912</v>
      </c>
      <c r="D1" s="41" t="s">
        <v>2</v>
      </c>
      <c r="E1" s="41" t="s">
        <v>1251</v>
      </c>
      <c r="F1" s="15" t="s">
        <v>1878</v>
      </c>
      <c r="G1" s="15" t="s">
        <v>1913</v>
      </c>
      <c r="H1" s="15" t="s">
        <v>1882</v>
      </c>
      <c r="I1" s="41" t="s">
        <v>1619</v>
      </c>
      <c r="J1" s="41" t="s">
        <v>1618</v>
      </c>
      <c r="K1" s="41" t="s">
        <v>1617</v>
      </c>
      <c r="L1" s="41" t="s">
        <v>1889</v>
      </c>
      <c r="M1" s="41" t="s">
        <v>1914</v>
      </c>
      <c r="N1" s="41" t="s">
        <v>1915</v>
      </c>
      <c r="O1" s="41" t="s">
        <v>1916</v>
      </c>
      <c r="P1" s="41" t="s">
        <v>1917</v>
      </c>
      <c r="Q1" s="41" t="s">
        <v>1918</v>
      </c>
      <c r="R1" s="41" t="s">
        <v>1919</v>
      </c>
      <c r="S1" s="41" t="s">
        <v>728</v>
      </c>
      <c r="T1" s="15" t="s">
        <v>1920</v>
      </c>
      <c r="U1" s="15" t="s">
        <v>873</v>
      </c>
      <c r="V1" s="15" t="s">
        <v>1907</v>
      </c>
      <c r="W1" s="15" t="s">
        <v>1908</v>
      </c>
      <c r="X1" s="15" t="s">
        <v>1906</v>
      </c>
    </row>
  </sheetData>
  <dataValidations count="4">
    <dataValidation allowBlank="true" errorStyle="stop" operator="between" showDropDown="false" showErrorMessage="true" showInputMessage="true" sqref="U2:U1000" type="list">
      <formula1>"Automatic,Manual"</formula1>
      <formula2>0</formula2>
    </dataValidation>
    <dataValidation allowBlank="true" error="Numbers Only" errorStyle="stop" operator="between" showDropDown="false" showErrorMessage="true" showInputMessage="true" sqref="1:1" type="none">
      <formula1>0</formula1>
      <formula2>0</formula2>
    </dataValidation>
    <dataValidation allowBlank="true" error="Numbers Only" errorStyle="stop" operator="between" showDropDown="false" showErrorMessage="true" showInputMessage="true" sqref="I2:K1001 M2:S1001" type="decimal">
      <formula1>-9.99999999999999E+017</formula1>
      <formula2>9.99999999999999E+020</formula2>
    </dataValidation>
    <dataValidation allowBlank="true" errorStyle="stop" operator="between" showDropDown="false" showErrorMessage="true" showInputMessage="true" sqref="F2:H1001 L2:L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14" activeCellId="0" sqref="C14"/>
    </sheetView>
  </sheetViews>
  <sheetFormatPr defaultColWidth="9.36328125" defaultRowHeight="15" customHeight="true" zeroHeight="false" outlineLevelRow="0" outlineLevelCol="0"/>
  <cols>
    <col collapsed="false" customWidth="true" hidden="false" outlineLevel="0" max="1" min="1" style="1" width="61"/>
    <col collapsed="false" customWidth="true" hidden="false" outlineLevel="0" max="2" min="2" style="1" width="8.54"/>
    <col collapsed="false" customWidth="true" hidden="false" outlineLevel="0" max="3" min="3" style="1" width="11.36"/>
    <col collapsed="false" customWidth="true" hidden="false" outlineLevel="0" max="4" min="4" style="1" width="9"/>
    <col collapsed="false" customWidth="true" hidden="false" outlineLevel="0" max="5" min="5" style="1" width="11"/>
    <col collapsed="false" customWidth="true" hidden="false" outlineLevel="0" max="6" min="6" style="1" width="8.63"/>
    <col collapsed="false" customWidth="true" hidden="false" outlineLevel="0" max="7" min="7" style="1" width="27.45"/>
    <col collapsed="false" customWidth="true" hidden="false" outlineLevel="0" max="8" min="8" style="1" width="5.54"/>
    <col collapsed="false" customWidth="true" hidden="false" outlineLevel="0" max="9" min="9" style="1" width="11.54"/>
    <col collapsed="false" customWidth="true" hidden="false" outlineLevel="0" max="10" min="10" style="1" width="23.54"/>
    <col collapsed="false" customWidth="true" hidden="false" outlineLevel="0" max="11" min="11" style="1" width="12.54"/>
    <col collapsed="false" customWidth="false" hidden="false" outlineLevel="0" max="16384" min="12" style="1" width="9.36"/>
  </cols>
  <sheetData>
    <row r="1" customFormat="false" ht="15" hidden="false" customHeight="true" outlineLevel="0" collapsed="false">
      <c r="A1" s="15" t="s">
        <v>1011</v>
      </c>
      <c r="B1" s="15" t="s">
        <v>1294</v>
      </c>
      <c r="C1" s="15" t="s">
        <v>2</v>
      </c>
      <c r="D1" s="15" t="s">
        <v>489</v>
      </c>
      <c r="E1" s="15" t="s">
        <v>1251</v>
      </c>
      <c r="F1" s="15" t="s">
        <v>426</v>
      </c>
      <c r="G1" s="15" t="s">
        <v>644</v>
      </c>
      <c r="H1" s="15" t="s">
        <v>979</v>
      </c>
      <c r="I1" s="15" t="s">
        <v>1921</v>
      </c>
      <c r="J1" s="15" t="s">
        <v>472</v>
      </c>
      <c r="K1" s="15" t="s">
        <v>1922</v>
      </c>
    </row>
  </sheetData>
  <conditionalFormatting sqref="A4">
    <cfRule type="duplicateValues" priority="2" aboveAverage="0" equalAverage="0" bottom="0" percent="0" rank="0" text="" dxfId="209"/>
  </conditionalFormatting>
  <conditionalFormatting sqref="G4">
    <cfRule type="duplicateValues" priority="3" aboveAverage="0" equalAverage="0" bottom="0" percent="0" rank="0" text="" dxfId="210"/>
  </conditionalFormatting>
  <dataValidations count="3">
    <dataValidation allowBlank="true" errorStyle="stop" operator="greaterThanOrEqual" showDropDown="false" showErrorMessage="true" showInputMessage="true" sqref="B1" type="none">
      <formula1>0</formula1>
      <formula2>0</formula2>
    </dataValidation>
    <dataValidation allowBlank="true" errorStyle="stop" operator="between" showDropDown="false" showErrorMessage="true" showInputMessage="true" sqref="F3 F6 F15:F1001" type="list">
      <formula1>Enums!$AA$45:$AA$48</formula1>
      <formula2>0</formula2>
    </dataValidation>
    <dataValidation allowBlank="true" errorStyle="stop" operator="between" showDropDown="false" showErrorMessage="true" showInputMessage="true" sqref="K3 K6 K10:K1001" type="list">
      <formula1>Enums!$AA$51:$AA$52</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C15" activeCellId="0" sqref="C15"/>
    </sheetView>
  </sheetViews>
  <sheetFormatPr defaultColWidth="9.36328125" defaultRowHeight="15" customHeight="true" zeroHeight="false" outlineLevelRow="0" outlineLevelCol="0"/>
  <cols>
    <col collapsed="false" customWidth="true" hidden="false" outlineLevel="0" max="1" min="1" style="65" width="64.45"/>
    <col collapsed="false" customWidth="true" hidden="false" outlineLevel="0" max="2" min="2" style="65" width="6.45"/>
    <col collapsed="false" customWidth="true" hidden="false" outlineLevel="0" max="3" min="3" style="65" width="20.45"/>
    <col collapsed="false" customWidth="true" hidden="false" outlineLevel="0" max="4" min="4" style="65" width="8.54"/>
    <col collapsed="false" customWidth="true" hidden="false" outlineLevel="0" max="5" min="5" style="65" width="15.54"/>
    <col collapsed="false" customWidth="true" hidden="false" outlineLevel="0" max="6" min="6" style="65" width="9"/>
    <col collapsed="false" customWidth="true" hidden="false" outlineLevel="0" max="7" min="7" style="65" width="15.54"/>
    <col collapsed="false" customWidth="true" hidden="false" outlineLevel="0" max="8" min="8" style="65" width="5.54"/>
    <col collapsed="false" customWidth="true" hidden="false" outlineLevel="0" max="9" min="9" style="65" width="16.45"/>
    <col collapsed="false" customWidth="true" hidden="false" outlineLevel="0" max="10" min="10" style="65" width="8.63"/>
    <col collapsed="false" customWidth="true" hidden="false" outlineLevel="0" max="11" min="11" style="65" width="8.45"/>
    <col collapsed="false" customWidth="true" hidden="false" outlineLevel="0" max="12" min="12" style="65" width="15"/>
    <col collapsed="false" customWidth="true" hidden="false" outlineLevel="0" max="13" min="13" style="65" width="36"/>
    <col collapsed="false" customWidth="true" hidden="false" outlineLevel="0" max="14" min="14" style="65" width="24.54"/>
    <col collapsed="false" customWidth="true" hidden="false" outlineLevel="0" max="15" min="15" style="65" width="10.45"/>
    <col collapsed="false" customWidth="true" hidden="false" outlineLevel="0" max="16" min="16" style="65" width="11.54"/>
    <col collapsed="false" customWidth="true" hidden="false" outlineLevel="0" max="17" min="17" style="65" width="20.54"/>
    <col collapsed="false" customWidth="true" hidden="false" outlineLevel="0" max="18" min="18" style="65" width="24"/>
    <col collapsed="false" customWidth="true" hidden="false" outlineLevel="0" max="19" min="19" style="65" width="23.45"/>
    <col collapsed="false" customWidth="true" hidden="false" outlineLevel="0" max="20" min="20" style="65" width="5.54"/>
    <col collapsed="false" customWidth="true" hidden="false" outlineLevel="0" max="21" min="21" style="65" width="11.36"/>
    <col collapsed="false" customWidth="true" hidden="false" outlineLevel="0" max="22" min="22" style="65" width="3.63"/>
    <col collapsed="false" customWidth="false" hidden="false" outlineLevel="0" max="38" min="23" style="65" width="9.36"/>
    <col collapsed="false" customWidth="true" hidden="false" outlineLevel="0" max="39" min="39" style="65" width="70.36"/>
    <col collapsed="false" customWidth="false" hidden="false" outlineLevel="0" max="16384" min="40" style="65" width="9.36"/>
  </cols>
  <sheetData>
    <row r="1" s="85" customFormat="true" ht="15" hidden="false" customHeight="true" outlineLevel="0" collapsed="false">
      <c r="A1" s="66" t="s">
        <v>1923</v>
      </c>
      <c r="B1" s="66" t="s">
        <v>1277</v>
      </c>
      <c r="C1" s="66" t="s">
        <v>1924</v>
      </c>
      <c r="D1" s="66" t="s">
        <v>1925</v>
      </c>
      <c r="E1" s="66" t="s">
        <v>1926</v>
      </c>
      <c r="F1" s="66" t="s">
        <v>362</v>
      </c>
      <c r="G1" s="66" t="s">
        <v>1927</v>
      </c>
      <c r="H1" s="66" t="s">
        <v>979</v>
      </c>
      <c r="I1" s="66" t="s">
        <v>948</v>
      </c>
      <c r="J1" s="66" t="s">
        <v>1787</v>
      </c>
      <c r="K1" s="66" t="s">
        <v>812</v>
      </c>
      <c r="L1" s="66" t="s">
        <v>1928</v>
      </c>
      <c r="M1" s="66" t="s">
        <v>1929</v>
      </c>
      <c r="N1" s="78" t="s">
        <v>1930</v>
      </c>
      <c r="O1" s="66" t="s">
        <v>1714</v>
      </c>
      <c r="P1" s="66" t="s">
        <v>1840</v>
      </c>
      <c r="Q1" s="66" t="s">
        <v>1734</v>
      </c>
      <c r="R1" s="66" t="s">
        <v>1931</v>
      </c>
      <c r="S1" s="66" t="s">
        <v>1932</v>
      </c>
      <c r="T1" s="66" t="s">
        <v>1683</v>
      </c>
      <c r="U1" s="84" t="s">
        <v>291</v>
      </c>
    </row>
  </sheetData>
  <dataValidations count="5">
    <dataValidation allowBlank="true" errorStyle="stop" operator="between" showDropDown="false" showErrorMessage="true" showInputMessage="true" sqref="U967:U1001" type="list">
      <formula1>"Yes,No"</formula1>
      <formula2>0</formula2>
    </dataValidation>
    <dataValidation allowBlank="true" error="Whole Numbers Only" errorStyle="stop" operator="between" showDropDown="false" showErrorMessage="true" showInputMessage="true" sqref="K3 K11 K13:K26 K30 K32:K1001" type="whole">
      <formula1>-9.99999999999999E+017</formula1>
      <formula2>9.99999999999999E+018</formula2>
    </dataValidation>
    <dataValidation allowBlank="true" error="Whole Numbers Only" errorStyle="stop" operator="greaterThanOrEqual" showDropDown="false" showErrorMessage="true" showInputMessage="true" sqref="B3 J3 B11:B26 J11 J13:J26 B30:B1001 J30 J32:J1001" type="whole">
      <formula1>1</formula1>
      <formula2>0</formula2>
    </dataValidation>
    <dataValidation allowBlank="true" error="Numbers Only" errorStyle="stop" operator="greaterThanOrEqual" showDropDown="false" showErrorMessage="true" showInputMessage="true" sqref="E3:G3 E11:G11 F12 E13:G26 E30:G30 F31 E32:G1001" type="decimal">
      <formula1>0</formula1>
      <formula2>0</formula2>
    </dataValidation>
    <dataValidation allowBlank="true" errorStyle="stop" operator="between" showDropDown="false" showErrorMessage="true" showInputMessage="true" sqref="O11:P13 O14:Q15 O18:Q26 O30:P32 O33:Q34 O37:Q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143" activePane="bottomLeft" state="frozen"/>
      <selection pane="topLeft" activeCell="A1" activeCellId="0" sqref="A1"/>
      <selection pane="bottomLeft" activeCell="C168" activeCellId="0" sqref="C168"/>
    </sheetView>
  </sheetViews>
  <sheetFormatPr defaultColWidth="9.36328125" defaultRowHeight="15" customHeight="true" zeroHeight="false" outlineLevelRow="0" outlineLevelCol="0"/>
  <cols>
    <col collapsed="false" customWidth="true" hidden="false" outlineLevel="0" max="1" min="1" style="35" width="33.63"/>
    <col collapsed="false" customWidth="true" hidden="false" outlineLevel="0" max="2" min="2" style="35" width="15.45"/>
    <col collapsed="false" customWidth="true" hidden="false" outlineLevel="0" max="3" min="3" style="35" width="7.63"/>
    <col collapsed="false" customWidth="true" hidden="false" outlineLevel="0" max="4" min="4" style="35" width="13.54"/>
    <col collapsed="false" customWidth="true" hidden="false" outlineLevel="0" max="5" min="5" style="35" width="5.45"/>
    <col collapsed="false" customWidth="true" hidden="false" outlineLevel="0" max="6" min="6" style="35" width="8.54"/>
    <col collapsed="false" customWidth="true" hidden="false" outlineLevel="0" max="7" min="7" style="35" width="12.63"/>
    <col collapsed="false" customWidth="true" hidden="false" outlineLevel="0" max="8" min="8" style="35" width="35.45"/>
    <col collapsed="false" customWidth="true" hidden="false" outlineLevel="0" max="9" min="9" style="35" width="45.36"/>
    <col collapsed="false" customWidth="false" hidden="false" outlineLevel="0" max="16384" min="10" style="35" width="9.36"/>
  </cols>
  <sheetData>
    <row r="1" customFormat="false" ht="15" hidden="false" customHeight="true" outlineLevel="0" collapsed="false">
      <c r="A1" s="15" t="s">
        <v>948</v>
      </c>
      <c r="B1" s="15" t="s">
        <v>1692</v>
      </c>
      <c r="C1" s="15" t="s">
        <v>644</v>
      </c>
      <c r="D1" s="15" t="s">
        <v>865</v>
      </c>
      <c r="E1" s="15" t="s">
        <v>996</v>
      </c>
      <c r="F1" s="15" t="s">
        <v>532</v>
      </c>
      <c r="G1" s="15" t="s">
        <v>388</v>
      </c>
      <c r="H1" s="15" t="s">
        <v>1014</v>
      </c>
    </row>
  </sheetData>
  <autoFilter ref="A1:I151"/>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5" activeCellId="0" sqref="B15"/>
    </sheetView>
  </sheetViews>
  <sheetFormatPr defaultColWidth="9.36328125" defaultRowHeight="15" customHeight="true" zeroHeight="false" outlineLevelRow="0" outlineLevelCol="0"/>
  <cols>
    <col collapsed="false" customWidth="true" hidden="false" outlineLevel="0" max="1" min="1" style="35" width="36"/>
    <col collapsed="false" customWidth="true" hidden="false" outlineLevel="0" max="2" min="2" style="35" width="15.45"/>
    <col collapsed="false" customWidth="true" hidden="false" outlineLevel="0" max="3" min="3" style="35" width="27.63"/>
    <col collapsed="false" customWidth="true" hidden="false" outlineLevel="0" max="4" min="4" style="35" width="13.54"/>
    <col collapsed="false" customWidth="true" hidden="false" outlineLevel="0" max="5" min="5" style="35" width="5.45"/>
    <col collapsed="false" customWidth="true" hidden="false" outlineLevel="0" max="6" min="6" style="35" width="8.54"/>
    <col collapsed="false" customWidth="true" hidden="false" outlineLevel="0" max="7" min="7" style="35" width="55.36"/>
    <col collapsed="false" customWidth="true" hidden="false" outlineLevel="0" max="8" min="8" style="35" width="14"/>
    <col collapsed="false" customWidth="true" hidden="false" outlineLevel="0" max="9" min="9" style="35" width="18.36"/>
    <col collapsed="false" customWidth="true" hidden="false" outlineLevel="0" max="10" min="10" style="35" width="20.36"/>
    <col collapsed="false" customWidth="true" hidden="false" outlineLevel="0" max="11" min="11" style="35" width="24.45"/>
    <col collapsed="false" customWidth="false" hidden="false" outlineLevel="0" max="16384" min="12" style="35" width="9.36"/>
  </cols>
  <sheetData>
    <row r="1" customFormat="false" ht="15.75" hidden="false" customHeight="true" outlineLevel="0" collapsed="false">
      <c r="A1" s="15" t="s">
        <v>948</v>
      </c>
      <c r="B1" s="15" t="s">
        <v>1692</v>
      </c>
      <c r="C1" s="15" t="s">
        <v>644</v>
      </c>
      <c r="D1" s="15" t="s">
        <v>865</v>
      </c>
      <c r="E1" s="15" t="s">
        <v>996</v>
      </c>
      <c r="F1" s="15" t="s">
        <v>532</v>
      </c>
      <c r="G1" s="15" t="s">
        <v>1923</v>
      </c>
      <c r="H1" s="15" t="s">
        <v>1933</v>
      </c>
      <c r="I1" s="15" t="s">
        <v>1934</v>
      </c>
      <c r="J1" s="15" t="s">
        <v>1514</v>
      </c>
      <c r="K1" s="15" t="s">
        <v>1935</v>
      </c>
    </row>
  </sheetData>
  <mergeCells count="3">
    <mergeCell ref="E3:F3"/>
    <mergeCell ref="E16:F16"/>
    <mergeCell ref="E22:F22"/>
  </mergeCells>
  <conditionalFormatting sqref="A16">
    <cfRule type="duplicateValues" priority="2" aboveAverage="0" equalAverage="0" bottom="0" percent="0" rank="0" text="" dxfId="211"/>
  </conditionalFormatting>
  <conditionalFormatting sqref="A4">
    <cfRule type="duplicateValues" priority="3" aboveAverage="0" equalAverage="0" bottom="0" percent="0" rank="0" text="" dxfId="212"/>
  </conditionalFormatting>
  <conditionalFormatting sqref="A3">
    <cfRule type="duplicateValues" priority="4" aboveAverage="0" equalAverage="0" bottom="0" percent="0" rank="0" text="" dxfId="213"/>
  </conditionalFormatting>
  <conditionalFormatting sqref="A23">
    <cfRule type="duplicateValues" priority="5" aboveAverage="0" equalAverage="0" bottom="0" percent="0" rank="0" text="" dxfId="214"/>
  </conditionalFormatting>
  <conditionalFormatting sqref="C29">
    <cfRule type="duplicateValues" priority="6" aboveAverage="0" equalAverage="0" bottom="0" percent="0" rank="0" text="" dxfId="215"/>
  </conditionalFormatting>
  <conditionalFormatting sqref="C28">
    <cfRule type="duplicateValues" priority="7" aboveAverage="0" equalAverage="0" bottom="0" percent="0" rank="0" text="" dxfId="216"/>
  </conditionalFormatting>
  <conditionalFormatting sqref="C26:C27">
    <cfRule type="duplicateValues" priority="8" aboveAverage="0" equalAverage="0" bottom="0" percent="0" rank="0" text="" dxfId="217"/>
  </conditionalFormatting>
  <conditionalFormatting sqref="C24:C25">
    <cfRule type="duplicateValues" priority="9" aboveAverage="0" equalAverage="0" bottom="0" percent="0" rank="0" text="" dxfId="218"/>
  </conditionalFormatting>
  <conditionalFormatting sqref="A22">
    <cfRule type="duplicateValues" priority="10" aboveAverage="0" equalAverage="0" bottom="0" percent="0" rank="0" text="" dxfId="219"/>
  </conditionalFormatting>
  <conditionalFormatting sqref="C23">
    <cfRule type="duplicateValues" priority="11" aboveAverage="0" equalAverage="0" bottom="0" percent="0" rank="0" text="" dxfId="220"/>
  </conditionalFormatting>
  <conditionalFormatting sqref="C22">
    <cfRule type="duplicateValues" priority="12" aboveAverage="0" equalAverage="0" bottom="0" percent="0" rank="0" text="" dxfId="221"/>
  </conditionalFormatting>
  <dataValidations count="4">
    <dataValidation allowBlank="true" errorStyle="stop" operator="between" showDropDown="false" showErrorMessage="true" showInputMessage="true" sqref="K3:K18 K20:K1001" type="list">
      <formula1>Enums!$Q$98:$Q$99</formula1>
      <formula2>0</formula2>
    </dataValidation>
    <dataValidation allowBlank="true" errorStyle="stop" operator="between" showDropDown="false" showErrorMessage="true" showInputMessage="true" sqref="I3:I18 I20:I1001" type="list">
      <formula1>Enums!$Q$89:$Q$91</formula1>
      <formula2>0</formula2>
    </dataValidation>
    <dataValidation allowBlank="true" errorStyle="stop" operator="between" showDropDown="false" showErrorMessage="true" showInputMessage="true" sqref="J3:J18 J20:J1001" type="list">
      <formula1>Enums!$Q$94:$Q$95</formula1>
      <formula2>0</formula2>
    </dataValidation>
    <dataValidation allowBlank="true" errorStyle="stop" operator="between" showDropDown="false" showErrorMessage="true" showInputMessage="true" sqref="H3:H18 H20:H1001" type="list">
      <formula1>Enums!$Q$81:$Q$87</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11" activeCellId="0" sqref="C11"/>
    </sheetView>
  </sheetViews>
  <sheetFormatPr defaultColWidth="9.36328125" defaultRowHeight="15" customHeight="true" zeroHeight="false" outlineLevelRow="0" outlineLevelCol="0"/>
  <cols>
    <col collapsed="false" customWidth="true" hidden="false" outlineLevel="0" max="1" min="1" style="1" width="40"/>
    <col collapsed="false" customWidth="true" hidden="false" outlineLevel="0" max="2" min="2" style="1" width="8.54"/>
    <col collapsed="false" customWidth="true" hidden="false" outlineLevel="0" max="3" min="3" style="1" width="41.45"/>
    <col collapsed="false" customWidth="true" hidden="false" outlineLevel="0" max="4" min="4" style="1" width="9"/>
    <col collapsed="false" customWidth="true" hidden="false" outlineLevel="0" max="5" min="5" style="1" width="10.54"/>
    <col collapsed="false" customWidth="true" hidden="false" outlineLevel="0" max="6" min="6" style="1" width="16.45"/>
    <col collapsed="false" customWidth="true" hidden="false" outlineLevel="0" max="7" min="7" style="1" width="15.36"/>
    <col collapsed="false" customWidth="true" hidden="false" outlineLevel="0" max="8" min="8" style="1" width="5.45"/>
    <col collapsed="false" customWidth="true" hidden="false" outlineLevel="0" max="9" min="9" style="1" width="14.36"/>
    <col collapsed="false" customWidth="true" hidden="false" outlineLevel="0" max="10" min="10" style="1" width="18.45"/>
    <col collapsed="false" customWidth="true" hidden="false" outlineLevel="0" max="11" min="11" style="1" width="12.63"/>
    <col collapsed="false" customWidth="false" hidden="false" outlineLevel="0" max="16384" min="12" style="1" width="9.36"/>
  </cols>
  <sheetData>
    <row r="1" customFormat="false" ht="15" hidden="false" customHeight="true" outlineLevel="0" collapsed="false">
      <c r="A1" s="15" t="s">
        <v>1011</v>
      </c>
      <c r="B1" s="15" t="s">
        <v>1294</v>
      </c>
      <c r="C1" s="15" t="s">
        <v>2</v>
      </c>
      <c r="D1" s="15" t="s">
        <v>489</v>
      </c>
      <c r="E1" s="15" t="s">
        <v>1251</v>
      </c>
      <c r="F1" s="15" t="s">
        <v>426</v>
      </c>
      <c r="G1" s="15" t="s">
        <v>1936</v>
      </c>
      <c r="H1" s="15" t="s">
        <v>1923</v>
      </c>
      <c r="I1" s="15" t="s">
        <v>1839</v>
      </c>
      <c r="J1" s="15" t="s">
        <v>1313</v>
      </c>
    </row>
  </sheetData>
  <dataValidations count="3">
    <dataValidation allowBlank="true" errorStyle="stop" operator="greaterThanOrEqual" showDropDown="false" showErrorMessage="true" showInputMessage="true" sqref="B1" type="none">
      <formula1>0</formula1>
      <formula2>0</formula2>
    </dataValidation>
    <dataValidation allowBlank="true" errorStyle="stop" operator="between" showDropDown="false" showErrorMessage="true" showInputMessage="true" sqref="F24:F1001" type="list">
      <formula1>Enums!$E$38:$E$42</formula1>
      <formula2>0</formula2>
    </dataValidation>
    <dataValidation allowBlank="true" errorStyle="stop" operator="between" showDropDown="false" showErrorMessage="true" showInputMessage="true" sqref="G24:G1001" type="list">
      <formula1>Enums!$E$45:$E$46</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G32" activePane="bottomRight" state="frozen"/>
      <selection pane="topLeft" activeCell="A1" activeCellId="0" sqref="A1"/>
      <selection pane="topRight" activeCell="G1" activeCellId="0" sqref="G1"/>
      <selection pane="bottomLeft" activeCell="A32" activeCellId="0" sqref="A32"/>
      <selection pane="bottomRight" activeCell="A35" activeCellId="0" sqref="A35"/>
    </sheetView>
  </sheetViews>
  <sheetFormatPr defaultColWidth="9.36328125" defaultRowHeight="15" customHeight="true" zeroHeight="false" outlineLevelRow="0" outlineLevelCol="0"/>
  <cols>
    <col collapsed="false" customWidth="true" hidden="false" outlineLevel="0" max="1" min="1" style="1" width="40"/>
    <col collapsed="false" customWidth="true" hidden="false" outlineLevel="0" max="2" min="2" style="1" width="36.54"/>
    <col collapsed="false" customWidth="true" hidden="false" outlineLevel="0" max="3" min="3" style="1" width="5.45"/>
    <col collapsed="false" customWidth="true" hidden="false" outlineLevel="0" max="4" min="4" style="1" width="6.54"/>
    <col collapsed="false" customWidth="true" hidden="false" outlineLevel="0" max="5" min="5" style="1" width="18.45"/>
    <col collapsed="false" customWidth="true" hidden="false" outlineLevel="0" max="6" min="6" style="1" width="12"/>
    <col collapsed="false" customWidth="true" hidden="false" outlineLevel="0" max="7" min="7" style="1" width="12.54"/>
    <col collapsed="false" customWidth="true" hidden="false" outlineLevel="0" max="8" min="8" style="1" width="10.36"/>
    <col collapsed="false" customWidth="true" hidden="false" outlineLevel="0" max="9" min="9" style="1" width="7.54"/>
    <col collapsed="false" customWidth="true" hidden="false" outlineLevel="0" max="10" min="10" style="1" width="9.54"/>
    <col collapsed="false" customWidth="true" hidden="false" outlineLevel="0" max="11" min="11" style="1" width="10.36"/>
    <col collapsed="false" customWidth="true" hidden="false" outlineLevel="0" max="12" min="12" style="1" width="5"/>
    <col collapsed="false" customWidth="true" hidden="false" outlineLevel="0" max="13" min="13" style="1" width="43.54"/>
    <col collapsed="false" customWidth="true" hidden="false" outlineLevel="0" max="14" min="14" style="1" width="11.54"/>
    <col collapsed="false" customWidth="true" hidden="false" outlineLevel="0" max="15" min="15" style="1" width="22"/>
    <col collapsed="false" customWidth="false" hidden="false" outlineLevel="0" max="16384" min="16" style="1" width="9.36"/>
  </cols>
  <sheetData>
    <row r="1" s="2" customFormat="true" ht="15" hidden="false" customHeight="true" outlineLevel="0" collapsed="false">
      <c r="A1" s="15" t="s">
        <v>1937</v>
      </c>
      <c r="B1" s="15" t="s">
        <v>1011</v>
      </c>
      <c r="C1" s="15" t="s">
        <v>489</v>
      </c>
      <c r="D1" s="15" t="s">
        <v>1938</v>
      </c>
      <c r="E1" s="15" t="s">
        <v>1313</v>
      </c>
      <c r="F1" s="15" t="s">
        <v>1939</v>
      </c>
      <c r="G1" s="15" t="s">
        <v>1940</v>
      </c>
      <c r="H1" s="15" t="s">
        <v>1455</v>
      </c>
      <c r="I1" s="15" t="s">
        <v>1456</v>
      </c>
      <c r="J1" s="15" t="s">
        <v>1941</v>
      </c>
      <c r="K1" s="15" t="s">
        <v>1714</v>
      </c>
      <c r="L1" s="15" t="s">
        <v>543</v>
      </c>
      <c r="M1" s="15" t="s">
        <v>1866</v>
      </c>
      <c r="N1" s="15" t="s">
        <v>1942</v>
      </c>
      <c r="O1" s="15" t="s">
        <v>1943</v>
      </c>
    </row>
  </sheetData>
  <dataValidations count="3">
    <dataValidation allowBlank="true" errorStyle="stop" operator="between" showDropDown="false" showErrorMessage="true" showInputMessage="true" sqref="F30:F32 F49:F1001" type="list">
      <formula1>Enums!$E$49:$E$52</formula1>
      <formula2>0</formula2>
    </dataValidation>
    <dataValidation allowBlank="true" errorStyle="stop" operator="between" showDropDown="false" showErrorMessage="true" showInputMessage="true" sqref="G30:G32 G49:G1001" type="list">
      <formula1>Enums!$E$55:$E$56</formula1>
      <formula2>0</formula2>
    </dataValidation>
    <dataValidation allowBlank="true" errorStyle="stop" operator="between" showDropDown="false" showErrorMessage="true" showInputMessage="true" sqref="J30:K32 J49:K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Q41" activeCellId="0" sqref="Q41"/>
    </sheetView>
  </sheetViews>
  <sheetFormatPr defaultColWidth="9.36328125" defaultRowHeight="15" customHeight="true" zeroHeight="false" outlineLevelRow="0" outlineLevelCol="0"/>
  <cols>
    <col collapsed="false" customWidth="true" hidden="false" outlineLevel="0" max="1" min="1" style="1" width="28.54"/>
    <col collapsed="false" customWidth="true" hidden="false" outlineLevel="0" max="2" min="2" style="1" width="10.45"/>
    <col collapsed="false" customWidth="true" hidden="false" outlineLevel="0" max="3" min="3" style="1" width="37.54"/>
    <col collapsed="false" customWidth="true" hidden="false" outlineLevel="0" max="4" min="4" style="1" width="10.36"/>
    <col collapsed="false" customWidth="true" hidden="false" outlineLevel="0" max="5" min="5" style="1" width="7"/>
    <col collapsed="false" customWidth="true" hidden="false" outlineLevel="0" max="6" min="6" style="1" width="12.63"/>
    <col collapsed="false" customWidth="true" hidden="false" outlineLevel="0" max="7" min="7" style="1" width="10.54"/>
    <col collapsed="false" customWidth="true" hidden="false" outlineLevel="0" max="8" min="8" style="1" width="20.54"/>
    <col collapsed="false" customWidth="true" hidden="false" outlineLevel="0" max="10" min="9" style="1" width="17.45"/>
    <col collapsed="false" customWidth="true" hidden="false" outlineLevel="0" max="11" min="11" style="1" width="10.54"/>
    <col collapsed="false" customWidth="true" hidden="false" outlineLevel="0" max="12" min="12" style="1" width="7.45"/>
    <col collapsed="false" customWidth="true" hidden="false" outlineLevel="0" max="13" min="13" style="1" width="12.54"/>
    <col collapsed="false" customWidth="false" hidden="false" outlineLevel="0" max="16384" min="14" style="1" width="9.36"/>
  </cols>
  <sheetData>
    <row r="1" s="2" customFormat="true" ht="15" hidden="false" customHeight="true" outlineLevel="0" collapsed="false">
      <c r="A1" s="15" t="s">
        <v>1937</v>
      </c>
      <c r="B1" s="15" t="s">
        <v>1944</v>
      </c>
      <c r="C1" s="15" t="s">
        <v>1011</v>
      </c>
      <c r="D1" s="15" t="s">
        <v>1714</v>
      </c>
      <c r="E1" s="15" t="s">
        <v>974</v>
      </c>
      <c r="F1" s="15" t="s">
        <v>1945</v>
      </c>
      <c r="G1" s="15" t="s">
        <v>489</v>
      </c>
      <c r="H1" s="15" t="s">
        <v>1946</v>
      </c>
      <c r="I1" s="15" t="s">
        <v>1947</v>
      </c>
      <c r="J1" s="15" t="s">
        <v>1948</v>
      </c>
      <c r="K1" s="15" t="s">
        <v>1949</v>
      </c>
      <c r="L1" s="15" t="s">
        <v>1950</v>
      </c>
      <c r="M1" s="15" t="s">
        <v>1255</v>
      </c>
    </row>
  </sheetData>
  <dataValidations count="6">
    <dataValidation allowBlank="true" errorStyle="stop" operator="between" showDropDown="false" showErrorMessage="true" showInputMessage="true" sqref="I101:I1001" type="list">
      <formula1>"StartAndEnd,End"</formula1>
      <formula2>0</formula2>
    </dataValidation>
    <dataValidation allowBlank="true" errorStyle="stop" operator="between" showDropDown="false" showErrorMessage="true" showInputMessage="true" sqref="D2:D1001" type="list">
      <formula1>Enums!$A$34:$A$35</formula1>
      <formula2>0</formula2>
    </dataValidation>
    <dataValidation allowBlank="true" errorStyle="stop" operator="between" showDropDown="false" showErrorMessage="true" showInputMessage="true" sqref="E2:E1001" type="list">
      <formula1>Enums!$E$59:$E$61</formula1>
      <formula2>0</formula2>
    </dataValidation>
    <dataValidation allowBlank="true" errorStyle="stop" operator="between" showDropDown="false" showErrorMessage="true" showInputMessage="true" sqref="K2:K1001" type="list">
      <formula1>Enums!$E$79:$E$82</formula1>
      <formula2>0</formula2>
    </dataValidation>
    <dataValidation allowBlank="true" errorStyle="stop" operator="between" showDropDown="false" showErrorMessage="true" showInputMessage="true" sqref="G2:G1001" type="list">
      <formula1>Enums!$E$64:$E$71</formula1>
      <formula2>0</formula2>
    </dataValidation>
    <dataValidation allowBlank="true" errorStyle="stop" operator="between" showDropDown="false" showErrorMessage="true" showInputMessage="true" sqref="H2:H1001" type="list">
      <formula1>Enums!$E$73:$E$76</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2" activeCellId="0" sqref="A2"/>
    </sheetView>
  </sheetViews>
  <sheetFormatPr defaultColWidth="9.36328125" defaultRowHeight="15" customHeight="true" zeroHeight="false" outlineLevelRow="0" outlineLevelCol="0"/>
  <cols>
    <col collapsed="false" customWidth="true" hidden="false" outlineLevel="0" max="1" min="1" style="1" width="15.63"/>
    <col collapsed="false" customWidth="true" hidden="false" outlineLevel="0" max="2" min="2" style="1" width="13.45"/>
    <col collapsed="false" customWidth="true" hidden="false" outlineLevel="0" max="4" min="3" style="1" width="12.36"/>
    <col collapsed="false" customWidth="true" hidden="false" outlineLevel="0" max="5" min="5" style="1" width="9.54"/>
    <col collapsed="false" customWidth="false" hidden="false" outlineLevel="0" max="16384" min="6" style="1" width="9.36"/>
  </cols>
  <sheetData>
    <row r="1" s="2" customFormat="true" ht="15" hidden="false" customHeight="true" outlineLevel="0" collapsed="false">
      <c r="A1" s="15" t="s">
        <v>1937</v>
      </c>
      <c r="B1" s="15" t="s">
        <v>1944</v>
      </c>
      <c r="C1" s="15" t="s">
        <v>790</v>
      </c>
      <c r="D1" s="15" t="s">
        <v>1951</v>
      </c>
      <c r="E1" s="15" t="s">
        <v>1952</v>
      </c>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F3" activeCellId="0" sqref="F3"/>
    </sheetView>
  </sheetViews>
  <sheetFormatPr defaultColWidth="9.36328125" defaultRowHeight="15" customHeight="true" zeroHeight="false" outlineLevelRow="0" outlineLevelCol="0"/>
  <cols>
    <col collapsed="false" customWidth="true" hidden="false" outlineLevel="0" max="1" min="1" style="1" width="20.45"/>
    <col collapsed="false" customWidth="true" hidden="false" outlineLevel="0" max="2" min="2" style="1" width="25.54"/>
    <col collapsed="false" customWidth="true" hidden="false" outlineLevel="0" max="3" min="3" style="1" width="13.45"/>
    <col collapsed="false" customWidth="true" hidden="false" outlineLevel="0" max="5" min="4" style="1" width="20.54"/>
    <col collapsed="false" customWidth="true" hidden="false" outlineLevel="0" max="6" min="6" style="1" width="18.45"/>
    <col collapsed="false" customWidth="false" hidden="false" outlineLevel="0" max="16384" min="7" style="1" width="9.36"/>
  </cols>
  <sheetData>
    <row r="1" s="2" customFormat="true" ht="15" hidden="false" customHeight="true" outlineLevel="0" collapsed="false">
      <c r="A1" s="15" t="s">
        <v>1937</v>
      </c>
      <c r="B1" s="15" t="s">
        <v>1944</v>
      </c>
      <c r="C1" s="15" t="s">
        <v>1953</v>
      </c>
      <c r="D1" s="34" t="s">
        <v>1954</v>
      </c>
      <c r="E1" s="15" t="s">
        <v>1955</v>
      </c>
      <c r="F1" s="15" t="s">
        <v>1956</v>
      </c>
    </row>
  </sheetData>
  <dataValidations count="1">
    <dataValidation allowBlank="true" errorStyle="stop" operator="between" showDropDown="false" showErrorMessage="true" showInputMessage="true" sqref="F3:F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2" activeCellId="0" sqref="K32"/>
    </sheetView>
  </sheetViews>
  <sheetFormatPr defaultColWidth="9.36328125" defaultRowHeight="15" customHeight="true" zeroHeight="false" outlineLevelRow="0" outlineLevelCol="0"/>
  <cols>
    <col collapsed="false" customWidth="true" hidden="false" outlineLevel="0" max="1" min="1" style="75" width="6.45"/>
    <col collapsed="false" customWidth="true" hidden="false" outlineLevel="0" max="2" min="2" style="75" width="8.54"/>
    <col collapsed="false" customWidth="true" hidden="false" outlineLevel="0" max="3" min="3" style="75" width="11.36"/>
    <col collapsed="false" customWidth="true" hidden="false" outlineLevel="0" max="4" min="4" style="75" width="5.45"/>
    <col collapsed="false" customWidth="true" hidden="false" outlineLevel="0" max="5" min="5" style="75" width="10.54"/>
    <col collapsed="false" customWidth="true" hidden="false" outlineLevel="0" max="6" min="6" style="75" width="11.45"/>
    <col collapsed="false" customWidth="true" hidden="false" outlineLevel="0" max="7" min="7" style="75" width="8.45"/>
    <col collapsed="false" customWidth="true" hidden="false" outlineLevel="0" max="8" min="8" style="75" width="13.54"/>
    <col collapsed="false" customWidth="true" hidden="false" outlineLevel="0" max="9" min="9" style="75" width="16.54"/>
    <col collapsed="false" customWidth="true" hidden="false" outlineLevel="0" max="10" min="10" style="75" width="15.54"/>
    <col collapsed="false" customWidth="true" hidden="false" outlineLevel="0" max="11" min="11" style="75" width="30.54"/>
    <col collapsed="false" customWidth="true" hidden="false" outlineLevel="0" max="12" min="12" style="75" width="27.54"/>
    <col collapsed="false" customWidth="true" hidden="false" outlineLevel="0" max="13" min="13" style="75" width="17.54"/>
    <col collapsed="false" customWidth="true" hidden="false" outlineLevel="0" max="14" min="14" style="75" width="27.54"/>
    <col collapsed="false" customWidth="true" hidden="false" outlineLevel="0" max="15" min="15" style="75" width="25.54"/>
    <col collapsed="false" customWidth="true" hidden="false" outlineLevel="0" max="16" min="16" style="75" width="31.54"/>
    <col collapsed="false" customWidth="true" hidden="false" outlineLevel="0" max="17" min="17" style="75" width="22.36"/>
    <col collapsed="false" customWidth="true" hidden="false" outlineLevel="0" max="18" min="18" style="75" width="30"/>
    <col collapsed="false" customWidth="true" hidden="false" outlineLevel="0" max="19" min="19" style="75" width="23.45"/>
    <col collapsed="false" customWidth="true" hidden="false" outlineLevel="0" max="20" min="20" style="75" width="33.54"/>
    <col collapsed="false" customWidth="true" hidden="false" outlineLevel="0" max="21" min="21" style="75" width="11.45"/>
    <col collapsed="false" customWidth="true" hidden="false" outlineLevel="0" max="22" min="22" style="75" width="27.63"/>
    <col collapsed="false" customWidth="true" hidden="false" outlineLevel="0" max="23" min="23" style="75" width="255.54"/>
    <col collapsed="false" customWidth="true" hidden="false" outlineLevel="0" max="25" min="24" style="75" width="27.63"/>
    <col collapsed="false" customWidth="true" hidden="false" outlineLevel="0" max="26" min="26" style="75" width="19.54"/>
    <col collapsed="false" customWidth="false" hidden="false" outlineLevel="0" max="16384" min="27" style="75" width="9.36"/>
  </cols>
  <sheetData>
    <row r="1" customFormat="false" ht="15" hidden="false" customHeight="true" outlineLevel="0" collapsed="false">
      <c r="A1" s="15" t="s">
        <v>1011</v>
      </c>
      <c r="B1" s="15" t="s">
        <v>1294</v>
      </c>
      <c r="C1" s="15" t="s">
        <v>2</v>
      </c>
      <c r="D1" s="15" t="s">
        <v>489</v>
      </c>
      <c r="E1" s="15" t="s">
        <v>1251</v>
      </c>
      <c r="F1" s="15" t="s">
        <v>697</v>
      </c>
      <c r="G1" s="15" t="s">
        <v>1435</v>
      </c>
      <c r="H1" s="15" t="s">
        <v>1957</v>
      </c>
      <c r="I1" s="15" t="s">
        <v>1958</v>
      </c>
      <c r="J1" s="15" t="s">
        <v>1959</v>
      </c>
      <c r="K1" s="15" t="s">
        <v>1960</v>
      </c>
      <c r="L1" s="15" t="s">
        <v>1961</v>
      </c>
      <c r="M1" s="15" t="s">
        <v>1962</v>
      </c>
      <c r="N1" s="15" t="s">
        <v>1963</v>
      </c>
      <c r="O1" s="15" t="s">
        <v>1964</v>
      </c>
      <c r="P1" s="15" t="s">
        <v>1965</v>
      </c>
      <c r="Q1" s="15" t="s">
        <v>1966</v>
      </c>
      <c r="R1" s="41" t="s">
        <v>1967</v>
      </c>
      <c r="S1" s="41" t="s">
        <v>1968</v>
      </c>
      <c r="T1" s="41" t="s">
        <v>1969</v>
      </c>
      <c r="U1" s="15" t="s">
        <v>282</v>
      </c>
    </row>
  </sheetData>
  <dataValidations count="3">
    <dataValidation allowBlank="true" errorStyle="stop" operator="between" showDropDown="false" showErrorMessage="true" showInputMessage="true" sqref="V2:X1001" type="list">
      <formula1>"Yes,No"</formula1>
      <formula2>0</formula2>
    </dataValidation>
    <dataValidation allowBlank="true" errorStyle="stop" operator="between" showDropDown="false" showErrorMessage="true" showInputMessage="true" sqref="J2:O1001 Q2:T1001" type="list">
      <formula1>Enums!$A$34:$A$35</formula1>
      <formula2>0</formula2>
    </dataValidation>
    <dataValidation allowBlank="true" errorStyle="stop" operator="between" showDropDown="false" showErrorMessage="true" showInputMessage="true" sqref="P2:P1001" type="list">
      <formula1>Enums!$S$88:$S$91</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K32" activeCellId="0" sqref="K32"/>
    </sheetView>
  </sheetViews>
  <sheetFormatPr defaultColWidth="32.00390625" defaultRowHeight="15" customHeight="true" zeroHeight="false" outlineLevelRow="0" outlineLevelCol="0"/>
  <cols>
    <col collapsed="false" customWidth="true" hidden="false" outlineLevel="0" max="1" min="1" style="87" width="8.45"/>
    <col collapsed="false" customWidth="true" hidden="false" outlineLevel="0" max="2" min="2" style="87" width="6.45"/>
    <col collapsed="false" customWidth="true" hidden="false" outlineLevel="0" max="3" min="3" style="87" width="5"/>
    <col collapsed="false" customWidth="true" hidden="false" outlineLevel="0" max="4" min="4" style="87" width="9"/>
    <col collapsed="false" customWidth="true" hidden="false" outlineLevel="0" max="5" min="5" style="87" width="24.54"/>
    <col collapsed="false" customWidth="true" hidden="false" outlineLevel="0" max="6" min="6" style="87" width="17.63"/>
    <col collapsed="false" customWidth="true" hidden="false" outlineLevel="0" max="8" min="7" style="87" width="17.45"/>
    <col collapsed="false" customWidth="true" hidden="false" outlineLevel="0" max="9" min="9" style="87" width="24.36"/>
    <col collapsed="false" customWidth="true" hidden="false" outlineLevel="0" max="10" min="10" style="87" width="16.45"/>
    <col collapsed="false" customWidth="true" hidden="false" outlineLevel="0" max="11" min="11" style="87" width="27.45"/>
    <col collapsed="false" customWidth="true" hidden="false" outlineLevel="0" max="12" min="12" style="87" width="11.45"/>
    <col collapsed="false" customWidth="false" hidden="false" outlineLevel="0" max="16384" min="13" style="87" width="32"/>
  </cols>
  <sheetData>
    <row r="1" s="88" customFormat="true" ht="15" hidden="false" customHeight="true" outlineLevel="0" collapsed="false">
      <c r="A1" s="15" t="s">
        <v>1970</v>
      </c>
      <c r="B1" s="15" t="s">
        <v>1011</v>
      </c>
      <c r="C1" s="15" t="s">
        <v>674</v>
      </c>
      <c r="D1" s="15" t="s">
        <v>1937</v>
      </c>
      <c r="E1" s="15" t="s">
        <v>1971</v>
      </c>
      <c r="F1" s="41" t="s">
        <v>1972</v>
      </c>
      <c r="G1" s="41" t="s">
        <v>1973</v>
      </c>
      <c r="H1" s="41" t="s">
        <v>1974</v>
      </c>
      <c r="I1" s="15" t="s">
        <v>1975</v>
      </c>
      <c r="J1" s="15" t="s">
        <v>1976</v>
      </c>
      <c r="K1" s="15" t="s">
        <v>1977</v>
      </c>
      <c r="L1" s="41" t="s">
        <v>282</v>
      </c>
    </row>
  </sheetData>
  <dataValidations count="4">
    <dataValidation allowBlank="true" errorStyle="stop" operator="between" showDropDown="false" showErrorMessage="true" showInputMessage="true" sqref="E2:E1001" type="list">
      <formula1>Enums!$S$88:$S$91</formula1>
      <formula2>0</formula2>
    </dataValidation>
    <dataValidation allowBlank="true" errorStyle="stop" operator="between" showDropDown="false" showErrorMessage="true" showInputMessage="true" sqref="F2:F1001 H2:I1001 K2:K1001" type="list">
      <formula1>Enums!$A$34:$A$35</formula1>
      <formula2>0</formula2>
    </dataValidation>
    <dataValidation allowBlank="true" errorStyle="stop" operator="between" showDropDown="false" showErrorMessage="true" showInputMessage="true" sqref="G2:G1001" type="list">
      <formula1>Enums!$S$94:$S$95</formula1>
      <formula2>0</formula2>
    </dataValidation>
    <dataValidation allowBlank="true" errorStyle="stop" operator="between" showDropDown="false" showErrorMessage="true" showInputMessage="true" sqref="J2:J1001" type="list">
      <formula1>Enums!$U$34:$U$37</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2" activeCellId="0" sqref="K32"/>
    </sheetView>
  </sheetViews>
  <sheetFormatPr defaultColWidth="8.6796875" defaultRowHeight="15" customHeight="true" zeroHeight="false" outlineLevelRow="0" outlineLevelCol="0"/>
  <cols>
    <col collapsed="false" customWidth="true" hidden="false" outlineLevel="0" max="1" min="1" style="0" width="6.45"/>
    <col collapsed="false" customWidth="true" hidden="false" outlineLevel="0" max="2" min="2" style="0" width="8.54"/>
    <col collapsed="false" customWidth="true" hidden="false" outlineLevel="0" max="3" min="3" style="0" width="11.36"/>
    <col collapsed="false" customWidth="true" hidden="false" outlineLevel="0" max="4" min="4" style="0" width="5.45"/>
    <col collapsed="false" customWidth="true" hidden="false" outlineLevel="0" max="5" min="5" style="0" width="10.54"/>
    <col collapsed="false" customWidth="true" hidden="false" outlineLevel="0" max="6" min="6" style="0" width="39.54"/>
    <col collapsed="false" customWidth="true" hidden="false" outlineLevel="0" max="7" min="7" style="0" width="22.54"/>
    <col collapsed="false" customWidth="true" hidden="false" outlineLevel="0" max="8" min="8" style="0" width="26.54"/>
    <col collapsed="false" customWidth="true" hidden="false" outlineLevel="0" max="9" min="9" style="0" width="25"/>
    <col collapsed="false" customWidth="true" hidden="false" outlineLevel="0" max="10" min="10" style="0" width="24.45"/>
    <col collapsed="false" customWidth="true" hidden="false" outlineLevel="0" max="11" min="11" style="0" width="19.45"/>
    <col collapsed="false" customWidth="true" hidden="false" outlineLevel="0" max="12" min="12" style="0" width="8.45"/>
    <col collapsed="false" customWidth="true" hidden="false" outlineLevel="0" max="13" min="13" style="0" width="24.45"/>
    <col collapsed="false" customWidth="true" hidden="false" outlineLevel="0" max="14" min="14" style="0" width="13.63"/>
    <col collapsed="false" customWidth="true" hidden="false" outlineLevel="0" max="15" min="15" style="0" width="15.36"/>
    <col collapsed="false" customWidth="true" hidden="false" outlineLevel="0" max="16" min="16" style="0" width="17.54"/>
    <col collapsed="false" customWidth="true" hidden="false" outlineLevel="0" max="17" min="17" style="0" width="22.45"/>
    <col collapsed="false" customWidth="true" hidden="false" outlineLevel="0" max="18" min="18" style="0" width="23"/>
    <col collapsed="false" customWidth="true" hidden="false" outlineLevel="0" max="19" min="19" style="0" width="20"/>
    <col collapsed="false" customWidth="true" hidden="false" outlineLevel="0" max="20" min="20" style="0" width="25"/>
    <col collapsed="false" customWidth="true" hidden="false" outlineLevel="0" max="21" min="21" style="0" width="11.54"/>
    <col collapsed="false" customWidth="true" hidden="false" outlineLevel="0" max="22" min="22" style="0" width="16.45"/>
    <col collapsed="false" customWidth="true" hidden="false" outlineLevel="0" max="23" min="23" style="0" width="16.63"/>
    <col collapsed="false" customWidth="true" hidden="false" outlineLevel="0" max="24" min="24" style="0" width="14"/>
  </cols>
  <sheetData>
    <row r="1" s="42" customFormat="true" ht="15.75" hidden="false" customHeight="true" outlineLevel="0" collapsed="false">
      <c r="A1" s="15" t="s">
        <v>1011</v>
      </c>
      <c r="B1" s="15" t="s">
        <v>1294</v>
      </c>
      <c r="C1" s="15" t="s">
        <v>2</v>
      </c>
      <c r="D1" s="15" t="s">
        <v>489</v>
      </c>
      <c r="E1" s="15" t="s">
        <v>1251</v>
      </c>
      <c r="F1" s="15" t="s">
        <v>1978</v>
      </c>
      <c r="G1" s="15" t="s">
        <v>1979</v>
      </c>
      <c r="H1" s="15" t="s">
        <v>1980</v>
      </c>
      <c r="I1" s="15" t="s">
        <v>1981</v>
      </c>
      <c r="J1" s="15" t="s">
        <v>1982</v>
      </c>
      <c r="K1" s="15" t="s">
        <v>1983</v>
      </c>
      <c r="L1" s="15" t="s">
        <v>1970</v>
      </c>
      <c r="M1" s="15" t="s">
        <v>1128</v>
      </c>
      <c r="N1" s="15" t="s">
        <v>1984</v>
      </c>
      <c r="O1" s="15" t="s">
        <v>1985</v>
      </c>
      <c r="P1" s="15" t="s">
        <v>1986</v>
      </c>
      <c r="Q1" s="15" t="s">
        <v>1987</v>
      </c>
      <c r="R1" s="15" t="s">
        <v>1988</v>
      </c>
      <c r="S1" s="15" t="s">
        <v>1989</v>
      </c>
      <c r="T1" s="15" t="s">
        <v>1990</v>
      </c>
      <c r="U1" s="15" t="s">
        <v>1991</v>
      </c>
      <c r="V1" s="15" t="s">
        <v>1992</v>
      </c>
      <c r="W1" s="15" t="s">
        <v>1993</v>
      </c>
      <c r="X1" s="15" t="s">
        <v>1994</v>
      </c>
    </row>
  </sheetData>
  <dataValidations count="2">
    <dataValidation allowBlank="true" errorStyle="stop" operator="between" showDropDown="false" showErrorMessage="true" showInputMessage="true" sqref="F2:K1001 N2:N1001" type="list">
      <formula1>Enums!$A$34:$A$35</formula1>
      <formula2>0</formula2>
    </dataValidation>
    <dataValidation allowBlank="true" errorStyle="stop" operator="between" showDropDown="false" showErrorMessage="true" showInputMessage="true" sqref="M2:M1001" type="list">
      <formula1>Enums!$AI$109:$AI$111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2" activeCellId="0" sqref="K32"/>
    </sheetView>
  </sheetViews>
  <sheetFormatPr defaultColWidth="8.6796875" defaultRowHeight="15" customHeight="true" zeroHeight="false" outlineLevelRow="0" outlineLevelCol="0"/>
  <cols>
    <col collapsed="false" customWidth="true" hidden="false" outlineLevel="0" max="1" min="1" style="0" width="14.45"/>
    <col collapsed="false" customWidth="true" hidden="false" outlineLevel="0" max="2" min="2" style="0" width="6.45"/>
    <col collapsed="false" customWidth="true" hidden="false" outlineLevel="0" max="3" min="3" style="0" width="28.45"/>
    <col collapsed="false" customWidth="true" hidden="false" outlineLevel="0" max="4" min="4" style="0" width="14.54"/>
    <col collapsed="false" customWidth="true" hidden="false" outlineLevel="0" max="5" min="5" style="0" width="14.45"/>
    <col collapsed="false" customWidth="true" hidden="false" outlineLevel="0" max="6" min="6" style="0" width="9.45"/>
    <col collapsed="false" customWidth="true" hidden="false" outlineLevel="0" max="7" min="7" style="0" width="10.45"/>
    <col collapsed="false" customWidth="true" hidden="false" outlineLevel="0" max="8" min="8" style="0" width="9"/>
    <col collapsed="false" customWidth="true" hidden="false" outlineLevel="0" max="9" min="9" style="0" width="20.36"/>
    <col collapsed="false" customWidth="true" hidden="false" outlineLevel="0" max="10" min="10" style="0" width="12.36"/>
  </cols>
  <sheetData>
    <row r="1" s="42" customFormat="true" ht="15.75" hidden="false" customHeight="true" outlineLevel="0" collapsed="false">
      <c r="A1" s="15" t="s">
        <v>1995</v>
      </c>
      <c r="B1" s="15" t="s">
        <v>1277</v>
      </c>
      <c r="C1" s="15" t="s">
        <v>1996</v>
      </c>
      <c r="D1" s="15" t="s">
        <v>1997</v>
      </c>
      <c r="E1" s="15" t="s">
        <v>1998</v>
      </c>
      <c r="F1" s="15" t="s">
        <v>942</v>
      </c>
      <c r="G1" s="15" t="s">
        <v>425</v>
      </c>
      <c r="H1" s="15" t="s">
        <v>1999</v>
      </c>
      <c r="I1" s="15" t="s">
        <v>2000</v>
      </c>
      <c r="J1" s="15" t="s">
        <v>2001</v>
      </c>
    </row>
  </sheetData>
  <dataValidations count="3">
    <dataValidation allowBlank="true" errorStyle="stop" operator="between" showDropDown="false" showErrorMessage="true" showInputMessage="true" sqref="C2:C1001 I2:I1001" type="list">
      <formula1>Enums!$A$34:$A$35</formula1>
      <formula2>0</formula2>
    </dataValidation>
    <dataValidation allowBlank="true" errorStyle="stop" operator="between" showDropDown="false" showErrorMessage="true" showInputMessage="true" sqref="F2:F1001" type="list">
      <formula1>Enums!$AI$115:$AI$117</formula1>
      <formula2>0</formula2>
    </dataValidation>
    <dataValidation allowBlank="true" errorStyle="stop" operator="between" showDropDown="false" showErrorMessage="true" showInputMessage="true" sqref="G2:G1001" type="list">
      <formula1>Enums!$AK$34:$AK$35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2" activeCellId="0" sqref="K32"/>
    </sheetView>
  </sheetViews>
  <sheetFormatPr defaultColWidth="8.6796875" defaultRowHeight="15" customHeight="true" zeroHeight="false" outlineLevelRow="0" outlineLevelCol="0"/>
  <cols>
    <col collapsed="false" customWidth="true" hidden="false" outlineLevel="0" max="1" min="1" style="0" width="14.45"/>
    <col collapsed="false" customWidth="true" hidden="false" outlineLevel="0" max="2" min="2" style="0" width="6.45"/>
    <col collapsed="false" customWidth="true" hidden="false" outlineLevel="0" max="3" min="3" style="0" width="12.45"/>
  </cols>
  <sheetData>
    <row r="1" s="42" customFormat="true" ht="15.75" hidden="false" customHeight="true" outlineLevel="0" collapsed="false">
      <c r="A1" s="15" t="s">
        <v>1995</v>
      </c>
      <c r="B1" s="15" t="s">
        <v>1277</v>
      </c>
      <c r="C1" s="15" t="s">
        <v>1011</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2" activeCellId="0" sqref="K32"/>
    </sheetView>
  </sheetViews>
  <sheetFormatPr defaultColWidth="8.6796875" defaultRowHeight="15" customHeight="true" zeroHeight="false" outlineLevelRow="0" outlineLevelCol="0"/>
  <cols>
    <col collapsed="false" customWidth="true" hidden="false" outlineLevel="0" max="1" min="1" style="0" width="14.45"/>
    <col collapsed="false" customWidth="true" hidden="false" outlineLevel="0" max="2" min="2" style="0" width="26.63"/>
    <col collapsed="false" customWidth="true" hidden="false" outlineLevel="0" max="3" min="3" style="0" width="6.45"/>
    <col collapsed="false" customWidth="true" hidden="false" outlineLevel="0" max="4" min="4" style="0" width="20.45"/>
    <col collapsed="false" customWidth="true" hidden="false" outlineLevel="0" max="5" min="5" style="0" width="5"/>
    <col collapsed="false" customWidth="true" hidden="false" outlineLevel="0" max="6" min="6" style="0" width="14.36"/>
    <col collapsed="false" customWidth="true" hidden="false" outlineLevel="0" max="7" min="7" style="0" width="21.54"/>
  </cols>
  <sheetData>
    <row r="1" s="42" customFormat="true" ht="15.75" hidden="false" customHeight="true" outlineLevel="0" collapsed="false">
      <c r="A1" s="15" t="s">
        <v>1995</v>
      </c>
      <c r="B1" s="15" t="s">
        <v>140</v>
      </c>
      <c r="C1" s="15" t="s">
        <v>1277</v>
      </c>
      <c r="D1" s="15" t="s">
        <v>2002</v>
      </c>
      <c r="E1" s="15" t="s">
        <v>948</v>
      </c>
      <c r="F1" s="15" t="s">
        <v>1839</v>
      </c>
      <c r="G1" s="15" t="s">
        <v>1869</v>
      </c>
    </row>
  </sheetData>
  <dataValidations count="1">
    <dataValidation allowBlank="true" errorStyle="stop" operator="between" showDropDown="false" showErrorMessage="true" showInputMessage="true" sqref="D2: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7" activeCellId="0" sqref="H7"/>
    </sheetView>
  </sheetViews>
  <sheetFormatPr defaultColWidth="9.36328125" defaultRowHeight="15" customHeight="true" zeroHeight="false" outlineLevelRow="0" outlineLevelCol="0"/>
  <cols>
    <col collapsed="false" customWidth="true" hidden="false" outlineLevel="0" max="1" min="1" style="1" width="30.91"/>
    <col collapsed="false" customWidth="true" hidden="false" outlineLevel="0" max="2" min="2" style="1" width="10.63"/>
    <col collapsed="false" customWidth="true" hidden="false" outlineLevel="0" max="3" min="3" style="1" width="23.54"/>
    <col collapsed="false" customWidth="true" hidden="false" outlineLevel="0" max="4" min="4" style="1" width="9"/>
    <col collapsed="false" customWidth="true" hidden="false" outlineLevel="0" max="5" min="5" style="1" width="12.63"/>
    <col collapsed="false" customWidth="true" hidden="false" outlineLevel="0" max="6" min="6" style="1" width="11.63"/>
    <col collapsed="false" customWidth="true" hidden="false" outlineLevel="0" max="7" min="7" style="1" width="14.36"/>
    <col collapsed="false" customWidth="true" hidden="false" outlineLevel="0" max="8" min="8" style="1" width="45.54"/>
    <col collapsed="false" customWidth="true" hidden="false" outlineLevel="0" max="9" min="9" style="1" width="10.91"/>
    <col collapsed="false" customWidth="true" hidden="false" outlineLevel="0" max="10" min="10" style="1" width="14.09"/>
    <col collapsed="false" customWidth="true" hidden="false" outlineLevel="0" max="11" min="11" style="1" width="13.54"/>
    <col collapsed="false" customWidth="true" hidden="false" outlineLevel="0" max="12" min="12" style="1" width="13.91"/>
    <col collapsed="false" customWidth="true" hidden="false" outlineLevel="0" max="13" min="13" style="1" width="16.09"/>
    <col collapsed="false" customWidth="true" hidden="false" outlineLevel="0" max="14" min="14" style="1" width="7.54"/>
    <col collapsed="false" customWidth="true" hidden="false" outlineLevel="0" max="15" min="15" style="1" width="21.09"/>
    <col collapsed="false" customWidth="true" hidden="false" outlineLevel="0" max="16" min="16" style="1" width="35.36"/>
    <col collapsed="false" customWidth="false" hidden="false" outlineLevel="0" max="16384" min="17" style="1" width="9.36"/>
  </cols>
  <sheetData>
    <row r="1" s="2" customFormat="true" ht="15" hidden="false" customHeight="true" outlineLevel="0" collapsed="false">
      <c r="A1" s="15" t="s">
        <v>1011</v>
      </c>
      <c r="B1" s="15" t="s">
        <v>1294</v>
      </c>
      <c r="C1" s="15" t="s">
        <v>2</v>
      </c>
      <c r="D1" s="15" t="s">
        <v>489</v>
      </c>
      <c r="E1" s="15" t="s">
        <v>1251</v>
      </c>
      <c r="F1" s="15" t="s">
        <v>1189</v>
      </c>
      <c r="G1" s="15" t="s">
        <v>2003</v>
      </c>
      <c r="H1" s="15" t="s">
        <v>2004</v>
      </c>
      <c r="I1" s="15" t="s">
        <v>2005</v>
      </c>
      <c r="J1" s="15" t="s">
        <v>2006</v>
      </c>
      <c r="K1" s="41" t="s">
        <v>1062</v>
      </c>
      <c r="L1" s="41" t="s">
        <v>2007</v>
      </c>
      <c r="M1" s="41" t="s">
        <v>2008</v>
      </c>
      <c r="N1" s="41" t="s">
        <v>2009</v>
      </c>
      <c r="O1" s="41" t="s">
        <v>2010</v>
      </c>
      <c r="P1" s="41" t="s">
        <v>2011</v>
      </c>
    </row>
  </sheetData>
  <dataValidations count="4">
    <dataValidation allowBlank="true" errorStyle="stop" operator="greaterThanOrEqual" showDropDown="false" showErrorMessage="true" showInputMessage="true" sqref="B1" type="none">
      <formula1>0</formula1>
      <formula2>0</formula2>
    </dataValidation>
    <dataValidation allowBlank="true" errorStyle="stop" operator="between" showDropDown="false" showErrorMessage="true" showInputMessage="true" sqref="F110:G1001" type="list">
      <formula1>Enums!$A$34:$A$35</formula1>
      <formula2>0</formula2>
    </dataValidation>
    <dataValidation allowBlank="true" errorStyle="stop" operator="between" showDropDown="false" showErrorMessage="true" showInputMessage="true" sqref="K110:K1001" type="list">
      <formula1>Enums!$W$94:$W$97</formula1>
      <formula2>0</formula2>
    </dataValidation>
    <dataValidation allowBlank="true" errorStyle="stop" operator="between" showDropDown="false" showErrorMessage="true" showInputMessage="true" sqref="L3:L1001" type="list">
      <formula1>Enums!$Y$34:$Y$36</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tableParts>
    <tablePart r:id="rId3"/>
  </tableParts>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38" activePane="bottomRight" state="frozen"/>
      <selection pane="topLeft" activeCell="A1" activeCellId="0" sqref="A1"/>
      <selection pane="topRight" activeCell="C1" activeCellId="0" sqref="C1"/>
      <selection pane="bottomLeft" activeCell="A38" activeCellId="0" sqref="A38"/>
      <selection pane="bottomRight" activeCell="B73" activeCellId="0" sqref="B73"/>
    </sheetView>
  </sheetViews>
  <sheetFormatPr defaultColWidth="9.36328125" defaultRowHeight="15" customHeight="true" zeroHeight="false" outlineLevelRow="0" outlineLevelCol="0"/>
  <cols>
    <col collapsed="false" customWidth="true" hidden="false" outlineLevel="0" max="1" min="1" style="1" width="41.36"/>
    <col collapsed="false" customWidth="true" hidden="false" outlineLevel="0" max="2" min="2" style="1" width="19.45"/>
    <col collapsed="false" customWidth="true" hidden="false" outlineLevel="0" max="3" min="3" style="1" width="6.45"/>
    <col collapsed="false" customWidth="true" hidden="false" outlineLevel="0" max="4" min="4" style="1" width="16"/>
    <col collapsed="false" customWidth="true" hidden="false" outlineLevel="0" max="5" min="5" style="1" width="10.54"/>
    <col collapsed="false" customWidth="true" hidden="false" outlineLevel="0" max="6" min="6" style="1" width="29.54"/>
    <col collapsed="false" customWidth="true" hidden="false" outlineLevel="0" max="7" min="7" style="1" width="9.91"/>
    <col collapsed="false" customWidth="true" hidden="false" outlineLevel="0" max="8" min="8" style="1" width="5"/>
    <col collapsed="false" customWidth="true" hidden="false" outlineLevel="0" max="9" min="9" style="1" width="13.36"/>
    <col collapsed="false" customWidth="true" hidden="false" outlineLevel="0" max="10" min="10" style="1" width="1.63"/>
    <col collapsed="false" customWidth="true" hidden="false" outlineLevel="0" max="11" min="11" style="1" width="16.09"/>
    <col collapsed="false" customWidth="false" hidden="false" outlineLevel="0" max="16384" min="12" style="1" width="9.36"/>
  </cols>
  <sheetData>
    <row r="1" s="2" customFormat="true" ht="15" hidden="false" customHeight="true" outlineLevel="0" collapsed="false">
      <c r="A1" s="15" t="s">
        <v>1007</v>
      </c>
      <c r="B1" s="15" t="s">
        <v>790</v>
      </c>
      <c r="C1" s="15" t="s">
        <v>1277</v>
      </c>
      <c r="D1" s="15" t="s">
        <v>2012</v>
      </c>
      <c r="E1" s="15" t="s">
        <v>489</v>
      </c>
      <c r="F1" s="15" t="s">
        <v>313</v>
      </c>
      <c r="G1" s="15" t="s">
        <v>517</v>
      </c>
      <c r="H1" s="15" t="s">
        <v>543</v>
      </c>
      <c r="I1" s="15" t="s">
        <v>2013</v>
      </c>
    </row>
  </sheetData>
  <autoFilter ref="A1:I62"/>
  <dataValidations count="5">
    <dataValidation allowBlank="true" errorStyle="stop" operator="between" showDropDown="false" showErrorMessage="true" showInputMessage="true" sqref="D988:D1001" type="list">
      <formula1>"Constant,Expression,Input,Rule"</formula1>
      <formula2>0</formula2>
    </dataValidation>
    <dataValidation allowBlank="true" errorStyle="stop" operator="greaterThanOrEqual" showDropDown="false" showErrorMessage="true" showInputMessage="true" sqref="A1:D1 F1:XFD1" type="none">
      <formula1>0</formula1>
      <formula2>0</formula2>
    </dataValidation>
    <dataValidation allowBlank="true" error="Whole Numbers Only" errorStyle="stop" operator="greaterThanOrEqual" showDropDown="false" showErrorMessage="true" showInputMessage="true" sqref="C2:C6 C10:C1001" type="whole">
      <formula1>1</formula1>
      <formula2>0</formula2>
    </dataValidation>
    <dataValidation allowBlank="true" errorStyle="stop" operator="greaterThanOrEqual" showDropDown="false" showErrorMessage="true" showInputMessage="true" sqref="I10:I54 I58:I1001" type="list">
      <formula1>Enums!$A$34:$A$35</formula1>
      <formula2>0</formula2>
    </dataValidation>
    <dataValidation allowBlank="true" errorStyle="stop" operator="between" showDropDown="false" showErrorMessage="true" showInputMessage="true" sqref="E10:E54 E63:E1001" type="list">
      <formula1>Enums!$Y$39:$Y$42</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C19" activeCellId="0" sqref="C19"/>
    </sheetView>
  </sheetViews>
  <sheetFormatPr defaultColWidth="9.36328125" defaultRowHeight="15" customHeight="true" zeroHeight="false" outlineLevelRow="0" outlineLevelCol="0"/>
  <cols>
    <col collapsed="false" customWidth="true" hidden="false" outlineLevel="0" max="1" min="1" style="1" width="25.45"/>
    <col collapsed="false" customWidth="true" hidden="false" outlineLevel="0" max="3" min="2" style="1" width="30.36"/>
    <col collapsed="false" customWidth="true" hidden="false" outlineLevel="0" max="4" min="4" style="1" width="27.63"/>
    <col collapsed="false" customWidth="true" hidden="false" outlineLevel="0" max="5" min="5" style="1" width="13.09"/>
    <col collapsed="false" customWidth="true" hidden="false" outlineLevel="0" max="6" min="6" style="1" width="8.91"/>
    <col collapsed="false" customWidth="false" hidden="false" outlineLevel="0" max="16384" min="7" style="1" width="9.36"/>
  </cols>
  <sheetData>
    <row r="1" s="2" customFormat="true" ht="15" hidden="false" customHeight="true" outlineLevel="0" collapsed="false">
      <c r="A1" s="15" t="s">
        <v>1007</v>
      </c>
      <c r="B1" s="15" t="s">
        <v>2014</v>
      </c>
      <c r="C1" s="15" t="s">
        <v>1607</v>
      </c>
      <c r="D1" s="15" t="s">
        <v>2</v>
      </c>
      <c r="E1" s="15" t="s">
        <v>1506</v>
      </c>
      <c r="F1" s="15" t="s">
        <v>1277</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tableParts>
    <tablePart r:id="rId3"/>
  </tableParts>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2" activeCellId="0" sqref="K32"/>
    </sheetView>
  </sheetViews>
  <sheetFormatPr defaultColWidth="9.36328125" defaultRowHeight="15" customHeight="true" zeroHeight="false" outlineLevelRow="0" outlineLevelCol="0"/>
  <cols>
    <col collapsed="false" customWidth="true" hidden="false" outlineLevel="0" max="1" min="1" style="1" width="7"/>
    <col collapsed="false" customWidth="true" hidden="false" outlineLevel="0" max="2" min="2" style="1" width="22.45"/>
    <col collapsed="false" customWidth="true" hidden="false" outlineLevel="0" max="3" min="3" style="1" width="10.45"/>
    <col collapsed="false" customWidth="true" hidden="false" outlineLevel="0" max="4" min="4" style="1" width="10.54"/>
    <col collapsed="false" customWidth="false" hidden="false" outlineLevel="0" max="16384" min="5" style="1" width="9.36"/>
  </cols>
  <sheetData>
    <row r="1" s="2" customFormat="true" ht="15" hidden="false" customHeight="true" outlineLevel="0" collapsed="false">
      <c r="A1" s="15" t="s">
        <v>1007</v>
      </c>
      <c r="B1" s="15" t="s">
        <v>2015</v>
      </c>
      <c r="C1" s="15" t="s">
        <v>790</v>
      </c>
      <c r="D1" s="15" t="s">
        <v>517</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2" activeCellId="0" sqref="K3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8.54"/>
    <col collapsed="false" customWidth="true" hidden="false" outlineLevel="0" max="3" min="3" style="1" width="11.36"/>
    <col collapsed="false" customWidth="true" hidden="false" outlineLevel="0" max="4" min="4" style="1" width="5.45"/>
    <col collapsed="false" customWidth="true" hidden="false" outlineLevel="0" max="5" min="5" style="1" width="10.54"/>
    <col collapsed="false" customWidth="false" hidden="false" outlineLevel="0" max="16384" min="6" style="1" width="9.36"/>
  </cols>
  <sheetData>
    <row r="1" s="2" customFormat="true" ht="15" hidden="false" customHeight="true" outlineLevel="0" collapsed="false">
      <c r="A1" s="15" t="s">
        <v>1011</v>
      </c>
      <c r="B1" s="15" t="s">
        <v>1294</v>
      </c>
      <c r="C1" s="15" t="s">
        <v>2</v>
      </c>
      <c r="D1" s="15" t="s">
        <v>489</v>
      </c>
      <c r="E1" s="15" t="s">
        <v>1251</v>
      </c>
    </row>
  </sheetData>
  <dataValidations count="1">
    <dataValidation allowBlank="true" errorStyle="stop" operator="greaterThanOrEqual" showDropDown="false" showErrorMessage="true" showInputMessage="true" sqref="B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K32" activeCellId="0" sqref="K32"/>
    </sheetView>
  </sheetViews>
  <sheetFormatPr defaultColWidth="9.36328125" defaultRowHeight="15" customHeight="true" zeroHeight="false" outlineLevelRow="0" outlineLevelCol="0"/>
  <cols>
    <col collapsed="false" customWidth="true" hidden="false" outlineLevel="0" max="1" min="1" style="1" width="16.54"/>
    <col collapsed="false" customWidth="true" hidden="false" outlineLevel="0" max="3" min="2" style="1" width="6.45"/>
    <col collapsed="false" customWidth="true" hidden="false" outlineLevel="0" max="4" min="4" style="1" width="11.36"/>
    <col collapsed="false" customWidth="true" hidden="false" outlineLevel="0" max="5" min="5" style="1" width="5.45"/>
    <col collapsed="false" customWidth="true" hidden="false" outlineLevel="0" max="6" min="6" style="1" width="13.54"/>
    <col collapsed="false" customWidth="true" hidden="false" outlineLevel="0" max="7" min="7" style="1" width="17"/>
    <col collapsed="false" customWidth="true" hidden="false" outlineLevel="0" max="8" min="8" style="1" width="5"/>
    <col collapsed="false" customWidth="true" hidden="false" outlineLevel="0" max="9" min="9" style="1" width="12.45"/>
    <col collapsed="false" customWidth="true" hidden="false" outlineLevel="0" max="10" min="10" style="1" width="16.54"/>
    <col collapsed="false" customWidth="true" hidden="false" outlineLevel="0" max="11" min="11" style="1" width="22"/>
    <col collapsed="false" customWidth="true" hidden="false" outlineLevel="0" max="12" min="12" style="1" width="17.45"/>
    <col collapsed="false" customWidth="true" hidden="false" outlineLevel="0" max="13" min="13" style="1" width="28.45"/>
    <col collapsed="false" customWidth="true" hidden="false" outlineLevel="0" max="14" min="14" style="1" width="12.63"/>
    <col collapsed="false" customWidth="true" hidden="false" outlineLevel="0" max="15" min="15" style="1" width="18.54"/>
    <col collapsed="false" customWidth="true" hidden="false" outlineLevel="0" max="16" min="16" style="1" width="27.45"/>
    <col collapsed="false" customWidth="true" hidden="false" outlineLevel="0" max="17" min="17" style="1" width="18.45"/>
    <col collapsed="false" customWidth="true" hidden="false" outlineLevel="0" max="18" min="18" style="1" width="24.36"/>
    <col collapsed="false" customWidth="true" hidden="false" outlineLevel="0" max="19" min="19" style="1" width="25.54"/>
    <col collapsed="false" customWidth="true" hidden="false" outlineLevel="0" max="20" min="20" style="1" width="13.54"/>
    <col collapsed="false" customWidth="true" hidden="false" outlineLevel="0" max="21" min="21" style="1" width="9"/>
    <col collapsed="false" customWidth="true" hidden="false" outlineLevel="0" max="22" min="22" style="1" width="23.45"/>
    <col collapsed="false" customWidth="true" hidden="false" outlineLevel="0" max="23" min="23" style="1" width="22.54"/>
    <col collapsed="false" customWidth="true" hidden="false" outlineLevel="0" max="24" min="24" style="1" width="16"/>
    <col collapsed="false" customWidth="true" hidden="false" outlineLevel="0" max="25" min="25" style="1" width="19.45"/>
    <col collapsed="false" customWidth="true" hidden="false" outlineLevel="0" max="26" min="26" style="1" width="13.45"/>
    <col collapsed="false" customWidth="true" hidden="false" outlineLevel="0" max="27" min="27" style="1" width="12.54"/>
    <col collapsed="false" customWidth="true" hidden="false" outlineLevel="0" max="28" min="28" style="1" width="19.36"/>
    <col collapsed="false" customWidth="true" hidden="false" outlineLevel="0" max="29" min="29" style="1" width="19"/>
    <col collapsed="false" customWidth="true" hidden="false" outlineLevel="0" max="30" min="30" style="1" width="29.54"/>
    <col collapsed="false" customWidth="true" hidden="false" outlineLevel="0" max="31" min="31" style="1" width="26.54"/>
    <col collapsed="false" customWidth="true" hidden="false" outlineLevel="0" max="32" min="32" style="1" width="32.54"/>
    <col collapsed="false" customWidth="true" hidden="false" outlineLevel="0" max="33" min="33" style="1" width="27.63"/>
    <col collapsed="false" customWidth="true" hidden="false" outlineLevel="0" max="34" min="34" style="1" width="24.54"/>
    <col collapsed="false" customWidth="true" hidden="false" outlineLevel="0" max="35" min="35" style="1" width="29.63"/>
    <col collapsed="false" customWidth="true" hidden="false" outlineLevel="0" max="36" min="36" style="1" width="14.45"/>
    <col collapsed="false" customWidth="true" hidden="false" outlineLevel="0" max="37" min="37" style="1" width="10"/>
    <col collapsed="false" customWidth="true" hidden="false" outlineLevel="0" max="38" min="38" style="1" width="13.63"/>
    <col collapsed="false" customWidth="true" hidden="false" outlineLevel="0" max="39" min="39" style="1" width="23.54"/>
    <col collapsed="false" customWidth="true" hidden="false" outlineLevel="0" max="40" min="40" style="1" width="21.54"/>
    <col collapsed="false" customWidth="true" hidden="false" outlineLevel="0" max="41" min="41" style="1" width="16.63"/>
    <col collapsed="false" customWidth="true" hidden="false" outlineLevel="0" max="42" min="42" style="1" width="24"/>
    <col collapsed="false" customWidth="true" hidden="false" outlineLevel="0" max="43" min="43" style="1" width="9"/>
    <col collapsed="false" customWidth="true" hidden="false" outlineLevel="0" max="44" min="44" style="1" width="14.36"/>
    <col collapsed="false" customWidth="true" hidden="false" outlineLevel="0" max="45" min="45" style="1" width="21.54"/>
    <col collapsed="false" customWidth="true" hidden="false" outlineLevel="0" max="46" min="46" style="1" width="15.63"/>
    <col collapsed="false" customWidth="true" hidden="false" outlineLevel="0" max="47" min="47" style="1" width="21"/>
    <col collapsed="false" customWidth="true" hidden="false" outlineLevel="0" max="48" min="48" style="1" width="28.54"/>
    <col collapsed="false" customWidth="true" hidden="false" outlineLevel="0" max="49" min="49" style="1" width="5.45"/>
    <col collapsed="false" customWidth="true" hidden="false" outlineLevel="0" max="50" min="50" style="1" width="17.54"/>
    <col collapsed="false" customWidth="true" hidden="false" outlineLevel="0" max="51" min="51" style="1" width="14.36"/>
    <col collapsed="false" customWidth="true" hidden="false" outlineLevel="0" max="52" min="52" style="1" width="14.63"/>
    <col collapsed="false" customWidth="true" hidden="false" outlineLevel="0" max="53" min="53" style="1" width="39.54"/>
    <col collapsed="false" customWidth="true" hidden="false" outlineLevel="0" max="54" min="54" style="1" width="25.36"/>
    <col collapsed="false" customWidth="true" hidden="false" outlineLevel="0" max="55" min="55" style="1" width="25.54"/>
    <col collapsed="false" customWidth="true" hidden="false" outlineLevel="0" max="56" min="56" style="1" width="34"/>
    <col collapsed="false" customWidth="true" hidden="false" outlineLevel="0" max="57" min="57" style="1" width="18"/>
    <col collapsed="false" customWidth="true" hidden="false" outlineLevel="0" max="58" min="58" style="1" width="33.36"/>
    <col collapsed="false" customWidth="true" hidden="false" outlineLevel="0" max="59" min="59" style="1" width="5.63"/>
    <col collapsed="false" customWidth="true" hidden="false" outlineLevel="0" max="60" min="60" style="1" width="21.45"/>
    <col collapsed="false" customWidth="true" hidden="false" outlineLevel="0" max="61" min="61" style="1" width="8.63"/>
    <col collapsed="false" customWidth="true" hidden="false" outlineLevel="0" max="62" min="62" style="1" width="25.63"/>
    <col collapsed="false" customWidth="true" hidden="false" outlineLevel="0" max="63" min="63" style="1" width="19.36"/>
    <col collapsed="false" customWidth="true" hidden="false" outlineLevel="0" max="64" min="64" style="1" width="12.45"/>
    <col collapsed="false" customWidth="true" hidden="false" outlineLevel="0" max="65" min="65" style="1" width="16.54"/>
    <col collapsed="false" customWidth="true" hidden="false" outlineLevel="0" max="66" min="66" style="1" width="16.36"/>
    <col collapsed="false" customWidth="false" hidden="false" outlineLevel="0" max="73" min="67" style="1" width="9.36"/>
    <col collapsed="false" customWidth="true" hidden="false" outlineLevel="0" max="74" min="74" style="1" width="31.54"/>
    <col collapsed="false" customWidth="false" hidden="false" outlineLevel="0" max="16384" min="75" style="1" width="9.36"/>
  </cols>
  <sheetData>
    <row r="1" customFormat="false" ht="15" hidden="false" customHeight="true" outlineLevel="0" collapsed="false">
      <c r="A1" s="15" t="s">
        <v>2016</v>
      </c>
      <c r="B1" s="15" t="s">
        <v>1277</v>
      </c>
      <c r="C1" s="15" t="s">
        <v>1011</v>
      </c>
      <c r="D1" s="15" t="s">
        <v>2</v>
      </c>
      <c r="E1" s="15" t="s">
        <v>489</v>
      </c>
      <c r="F1" s="15" t="s">
        <v>708</v>
      </c>
      <c r="G1" s="15" t="s">
        <v>2017</v>
      </c>
      <c r="H1" s="15" t="s">
        <v>674</v>
      </c>
      <c r="I1" s="15" t="s">
        <v>2018</v>
      </c>
      <c r="J1" s="15" t="s">
        <v>1958</v>
      </c>
      <c r="K1" s="15" t="s">
        <v>563</v>
      </c>
      <c r="L1" s="15" t="s">
        <v>761</v>
      </c>
      <c r="M1" s="15" t="s">
        <v>827</v>
      </c>
      <c r="N1" s="15" t="s">
        <v>388</v>
      </c>
      <c r="O1" s="15" t="s">
        <v>617</v>
      </c>
      <c r="P1" s="15" t="s">
        <v>668</v>
      </c>
      <c r="Q1" s="15" t="s">
        <v>2019</v>
      </c>
      <c r="R1" s="15" t="s">
        <v>2020</v>
      </c>
      <c r="S1" s="15" t="s">
        <v>1434</v>
      </c>
      <c r="T1" s="41" t="s">
        <v>874</v>
      </c>
      <c r="U1" s="41" t="s">
        <v>2021</v>
      </c>
      <c r="V1" s="41" t="s">
        <v>2022</v>
      </c>
      <c r="W1" s="41" t="s">
        <v>926</v>
      </c>
      <c r="X1" s="41" t="s">
        <v>2023</v>
      </c>
      <c r="Y1" s="41" t="s">
        <v>2024</v>
      </c>
      <c r="Z1" s="41" t="s">
        <v>2025</v>
      </c>
      <c r="AA1" s="41" t="s">
        <v>2026</v>
      </c>
      <c r="AB1" s="41" t="s">
        <v>779</v>
      </c>
      <c r="AC1" s="41" t="s">
        <v>834</v>
      </c>
      <c r="AD1" s="41" t="s">
        <v>2027</v>
      </c>
      <c r="AE1" s="89" t="s">
        <v>1052</v>
      </c>
      <c r="AF1" s="89" t="s">
        <v>2028</v>
      </c>
      <c r="AG1" s="89" t="s">
        <v>2029</v>
      </c>
      <c r="AH1" s="41" t="s">
        <v>2030</v>
      </c>
      <c r="AI1" s="41" t="s">
        <v>2031</v>
      </c>
      <c r="AJ1" s="41" t="s">
        <v>2032</v>
      </c>
      <c r="AK1" s="41" t="s">
        <v>2033</v>
      </c>
      <c r="AL1" s="41" t="s">
        <v>2034</v>
      </c>
      <c r="AM1" s="41" t="s">
        <v>1010</v>
      </c>
      <c r="AN1" s="41" t="s">
        <v>2035</v>
      </c>
      <c r="AO1" s="41" t="s">
        <v>2036</v>
      </c>
      <c r="AP1" s="15" t="s">
        <v>420</v>
      </c>
      <c r="AQ1" s="15" t="s">
        <v>1937</v>
      </c>
      <c r="AR1" s="15" t="s">
        <v>1839</v>
      </c>
      <c r="AS1" s="15" t="s">
        <v>1869</v>
      </c>
      <c r="AT1" s="15" t="s">
        <v>2037</v>
      </c>
      <c r="AU1" s="15" t="s">
        <v>2038</v>
      </c>
      <c r="AV1" s="15" t="s">
        <v>2039</v>
      </c>
      <c r="AW1" s="41" t="s">
        <v>1923</v>
      </c>
      <c r="AX1" s="41" t="s">
        <v>2040</v>
      </c>
      <c r="AY1" s="15" t="s">
        <v>1800</v>
      </c>
      <c r="AZ1" s="15" t="s">
        <v>1801</v>
      </c>
      <c r="BA1" s="15" t="s">
        <v>2041</v>
      </c>
      <c r="BB1" s="15" t="s">
        <v>2042</v>
      </c>
      <c r="BC1" s="15" t="s">
        <v>2043</v>
      </c>
      <c r="BD1" s="15" t="s">
        <v>1806</v>
      </c>
      <c r="BE1" s="15" t="s">
        <v>1807</v>
      </c>
      <c r="BF1" s="15" t="s">
        <v>2044</v>
      </c>
      <c r="BG1" s="41" t="s">
        <v>265</v>
      </c>
    </row>
  </sheetData>
  <dataValidations count="22">
    <dataValidation allowBlank="true" error="Numbers Only" errorStyle="stop" operator="greaterThanOrEqual" showDropDown="false" showErrorMessage="true" showInputMessage="true" sqref="G2:G1001 U2:U1001 AI2:AL1001" type="decimal">
      <formula1>0</formula1>
      <formula2>0</formula2>
    </dataValidation>
    <dataValidation allowBlank="true" error="Whole Numbers Only" errorStyle="stop" operator="greaterThanOrEqual" showDropDown="false" showErrorMessage="true" showInputMessage="true" sqref="B2:B1001 AG2:AG1001" type="whole">
      <formula1>1</formula1>
      <formula2>0</formula2>
    </dataValidation>
    <dataValidation allowBlank="true" error="Number between 1 and 28&#10;Remark: 29th, 30th and 31th  month days are not possible yet" errorStyle="stop" operator="between" showDropDown="false" showErrorMessage="true" showInputMessage="true" sqref="V2:V1001" type="whole">
      <formula1>1</formula1>
      <formula2>28</formula2>
    </dataValidation>
    <dataValidation allowBlank="true" error="Numbers Only" errorStyle="stop" operator="greaterThan" showDropDown="false" showErrorMessage="true" showInputMessage="true" sqref="Z2:AA1001" type="decimal">
      <formula1>0</formula1>
      <formula2>0</formula2>
    </dataValidation>
    <dataValidation allowBlank="true" error="Whole Numbers Only. Between 1 and 23" errorStyle="stop" operator="between" showDropDown="false" showErrorMessage="true" showInputMessage="true" sqref="X2:X1001" type="whole">
      <formula1>1</formula1>
      <formula2>23</formula2>
    </dataValidation>
    <dataValidation allowBlank="true" error="Whole Numbers Only. Between 0 and 59" errorStyle="stop" operator="between" showDropDown="false" showErrorMessage="true" showInputMessage="true" sqref="Y2:Y1001" type="whole">
      <formula1>0</formula1>
      <formula2>59</formula2>
    </dataValidation>
    <dataValidation allowBlank="true" error="Whole numbers only" errorStyle="stop" operator="greaterThanOrEqual" showDropDown="false" showErrorMessage="true" showInputMessage="true" sqref="AD2:AD1001" type="whole">
      <formula1>1</formula1>
      <formula2>0</formula2>
    </dataValidation>
    <dataValidation allowBlank="true" error="Numbers Only" errorStyle="stop" operator="greaterThanOrEqual" showDropDown="false" showErrorMessage="true" showInputMessage="true" sqref="AH1" type="none">
      <formula1>0</formula1>
      <formula2>0</formula2>
    </dataValidation>
    <dataValidation allowBlank="true" errorStyle="stop" operator="between" showDropDown="false" showErrorMessage="true" showInputMessage="true" sqref="K2:K1001" type="list">
      <formula1>Enums!$Y$45:$Y$46</formula1>
      <formula2>0</formula2>
    </dataValidation>
    <dataValidation allowBlank="true" errorStyle="stop" operator="between" showDropDown="false" showErrorMessage="true" showInputMessage="true" sqref="O2:O1001" type="list">
      <formula1>Enums!$Y$49:$Y$50</formula1>
      <formula2>0</formula2>
    </dataValidation>
    <dataValidation allowBlank="true" errorStyle="stop" operator="between" showDropDown="false" showErrorMessage="true" showInputMessage="true" sqref="P2:P1001" type="list">
      <formula1>Enums!$Y$53:$Y$54</formula1>
      <formula2>0</formula2>
    </dataValidation>
    <dataValidation allowBlank="true" errorStyle="stop" operator="between" showDropDown="false" showErrorMessage="true" showInputMessage="true" sqref="F2:F1001" type="list">
      <formula1>Enums!$Y$57:$Y$60</formula1>
      <formula2>0</formula2>
    </dataValidation>
    <dataValidation allowBlank="true" errorStyle="stop" operator="between" showDropDown="false" showErrorMessage="true" showInputMessage="true" sqref="Q2:S1001 AX2:BF1001" type="list">
      <formula1>Enums!$A$34:$A$35</formula1>
      <formula2>0</formula2>
    </dataValidation>
    <dataValidation allowBlank="true" errorStyle="stop" operator="between" showDropDown="false" showErrorMessage="true" showInputMessage="true" sqref="AB2:AB1001" type="list">
      <formula1>Enums!$Y$63:$Y$65</formula1>
      <formula2>0</formula2>
    </dataValidation>
    <dataValidation allowBlank="true" errorStyle="stop" operator="between" showDropDown="false" showErrorMessage="true" showInputMessage="true" sqref="T2:T1001" type="list">
      <formula1>Enums!$Y$72:$Y$75</formula1>
      <formula2>0</formula2>
    </dataValidation>
    <dataValidation allowBlank="true" errorStyle="stop" operator="between" showDropDown="false" showErrorMessage="true" showInputMessage="true" sqref="W2:W1001" type="list">
      <formula1>Enums!$Y$78:$Y$84</formula1>
      <formula2>0</formula2>
    </dataValidation>
    <dataValidation allowBlank="true" errorStyle="stop" operator="between" showDropDown="false" showErrorMessage="true" showInputMessage="true" sqref="AM2:AM1001" type="list">
      <formula1>Enums!$Y$87:$Y$90</formula1>
      <formula2>0</formula2>
    </dataValidation>
    <dataValidation allowBlank="true" errorStyle="stop" operator="between" showDropDown="false" showErrorMessage="true" showInputMessage="true" sqref="AC2:AC1001 AE2:AF1001" type="list">
      <formula1>Enums!$Y$68:$Y$69</formula1>
      <formula2>0</formula2>
    </dataValidation>
    <dataValidation allowBlank="true" errorStyle="stop" operator="between" showDropDown="false" showErrorMessage="true" showInputMessage="true" sqref="AP2:AP1001" type="list">
      <formula1>Enums!$AA$34:$AA$35</formula1>
      <formula2>0</formula2>
    </dataValidation>
    <dataValidation allowBlank="true" error="Numbers Only" errorStyle="stop" operator="greaterThanOrEqual" showDropDown="false" showErrorMessage="true" showInputMessage="true" sqref="AH2:AH1001" type="list">
      <formula1>Enums!$AK$39:$AK$40</formula1>
      <formula2>0</formula2>
    </dataValidation>
    <dataValidation allowBlank="true" errorStyle="stop" operator="between" showDropDown="false" showErrorMessage="true" showInputMessage="true" sqref="L2:L1001" type="list">
      <formula1>Enums!$AM$61:$AM$64</formula1>
      <formula2>0</formula2>
    </dataValidation>
    <dataValidation allowBlank="true" errorStyle="stop" operator="between" showDropDown="false" showErrorMessage="true" showInputMessage="true" sqref="M2:M1001" type="list">
      <formula1>Enums!$AM$67:$AM$69</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K32" activeCellId="0" sqref="K32"/>
    </sheetView>
  </sheetViews>
  <sheetFormatPr defaultColWidth="8.6796875" defaultRowHeight="15" customHeight="true" zeroHeight="false" outlineLevelRow="0" outlineLevelCol="0"/>
  <cols>
    <col collapsed="false" customWidth="true" hidden="false" outlineLevel="0" max="1" min="1" style="0" width="16.54"/>
    <col collapsed="false" customWidth="true" hidden="false" outlineLevel="0" max="2" min="2" style="0" width="13.36"/>
    <col collapsed="false" customWidth="true" hidden="false" outlineLevel="0" max="3" min="3" style="0" width="6.45"/>
    <col collapsed="false" customWidth="true" hidden="false" outlineLevel="0" max="4" min="4" style="0" width="5.63"/>
    <col collapsed="false" customWidth="true" hidden="false" outlineLevel="0" max="5" min="5" style="0" width="12.54"/>
    <col collapsed="false" customWidth="true" hidden="false" outlineLevel="0" max="16" min="6" style="0" width="26.36"/>
  </cols>
  <sheetData>
    <row r="1" s="87" customFormat="true" ht="15" hidden="false" customHeight="true" outlineLevel="0" collapsed="false">
      <c r="A1" s="15" t="s">
        <v>2016</v>
      </c>
      <c r="B1" s="15" t="s">
        <v>2045</v>
      </c>
      <c r="C1" s="15" t="s">
        <v>1277</v>
      </c>
      <c r="D1" s="15" t="s">
        <v>657</v>
      </c>
      <c r="E1" s="15" t="s">
        <v>2046</v>
      </c>
    </row>
  </sheetData>
  <dataValidations count="3">
    <dataValidation allowBlank="true" error="Whole Numbers Only" errorStyle="stop" operator="greaterThanOrEqual" showDropDown="false" showErrorMessage="true" showInputMessage="true" sqref="C2:C1001" type="whole">
      <formula1>1</formula1>
      <formula2>0</formula2>
    </dataValidation>
    <dataValidation allowBlank="true" errorStyle="stop" operator="greaterThanOrEqual" showDropDown="false" showErrorMessage="true" showInputMessage="true" sqref="C1" type="none">
      <formula1>0</formula1>
      <formula2>0</formula2>
    </dataValidation>
    <dataValidation allowBlank="true" errorStyle="stop" operator="between" showDropDown="false" showErrorMessage="true" showInputMessage="true" sqref="E2:E1001" type="list">
      <formula1>Enums!$S$46:$S$50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K32" activeCellId="0" sqref="K32"/>
    </sheetView>
  </sheetViews>
  <sheetFormatPr defaultColWidth="8.6796875" defaultRowHeight="15" customHeight="true" zeroHeight="false" outlineLevelRow="0" outlineLevelCol="0"/>
  <cols>
    <col collapsed="false" customWidth="true" hidden="false" outlineLevel="0" max="1" min="1" style="0" width="16.54"/>
    <col collapsed="false" customWidth="true" hidden="false" outlineLevel="0" max="2" min="2" style="0" width="13.36"/>
    <col collapsed="false" customWidth="true" hidden="false" outlineLevel="0" max="3" min="3" style="0" width="6.45"/>
    <col collapsed="false" customWidth="true" hidden="false" outlineLevel="0" max="4" min="4" style="0" width="10.36"/>
    <col collapsed="false" customWidth="true" hidden="false" outlineLevel="0" max="15" min="5" style="0" width="26.36"/>
  </cols>
  <sheetData>
    <row r="1" s="87" customFormat="true" ht="15" hidden="false" customHeight="true" outlineLevel="0" collapsed="false">
      <c r="A1" s="15" t="s">
        <v>2016</v>
      </c>
      <c r="B1" s="15" t="s">
        <v>2045</v>
      </c>
      <c r="C1" s="15" t="s">
        <v>1277</v>
      </c>
      <c r="D1" s="15" t="s">
        <v>1309</v>
      </c>
      <c r="F1" s="90" t="s">
        <v>2047</v>
      </c>
    </row>
  </sheetData>
  <dataValidations count="2">
    <dataValidation allowBlank="true" errorStyle="stop" operator="greaterThanOrEqual" showDropDown="false" showErrorMessage="true" showInputMessage="true" sqref="C1" type="none">
      <formula1>0</formula1>
      <formula2>0</formula2>
    </dataValidation>
    <dataValidation allowBlank="true" error="Whole Numbers Only" errorStyle="stop" operator="greaterThanOrEqual" showDropDown="false" showErrorMessage="true" showInputMessage="true" sqref="C2:C1001" type="whole">
      <formula1>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K32" activeCellId="0" sqref="K32"/>
    </sheetView>
  </sheetViews>
  <sheetFormatPr defaultColWidth="9.36328125" defaultRowHeight="15" customHeight="true" zeroHeight="false" outlineLevelRow="0" outlineLevelCol="0"/>
  <cols>
    <col collapsed="false" customWidth="true" hidden="false" outlineLevel="0" max="1" min="1" style="1" width="16.54"/>
    <col collapsed="false" customWidth="true" hidden="false" outlineLevel="0" max="2" min="2" style="1" width="7.54"/>
    <col collapsed="false" customWidth="true" hidden="false" outlineLevel="0" max="3" min="3" style="1" width="16.54"/>
    <col collapsed="false" customWidth="true" hidden="false" outlineLevel="0" max="4" min="4" style="1" width="17"/>
    <col collapsed="false" customWidth="true" hidden="false" outlineLevel="0" max="5" min="5" style="1" width="21.45"/>
    <col collapsed="false" customWidth="true" hidden="false" outlineLevel="0" max="6" min="6" style="1" width="12.45"/>
    <col collapsed="false" customWidth="true" hidden="false" outlineLevel="0" max="7" min="7" style="1" width="17"/>
    <col collapsed="false" customWidth="true" hidden="false" outlineLevel="0" max="8" min="8" style="1" width="19.36"/>
    <col collapsed="false" customWidth="true" hidden="false" outlineLevel="0" max="9" min="9" style="1" width="12.45"/>
    <col collapsed="false" customWidth="true" hidden="false" outlineLevel="0" max="10" min="10" style="1" width="16.54"/>
    <col collapsed="false" customWidth="true" hidden="false" outlineLevel="0" max="11" min="11" style="1" width="16.36"/>
    <col collapsed="false" customWidth="false" hidden="false" outlineLevel="0" max="16384" min="12" style="1" width="9.36"/>
  </cols>
  <sheetData>
    <row r="1" s="2" customFormat="true" ht="15" hidden="false" customHeight="true" outlineLevel="0" collapsed="false">
      <c r="A1" s="15" t="s">
        <v>2016</v>
      </c>
      <c r="B1" s="15" t="s">
        <v>2048</v>
      </c>
      <c r="C1" s="15" t="s">
        <v>2049</v>
      </c>
      <c r="D1" s="15" t="s">
        <v>2050</v>
      </c>
      <c r="E1" s="1"/>
      <c r="F1" s="91"/>
      <c r="G1" s="44"/>
    </row>
  </sheetData>
  <dataValidations count="1">
    <dataValidation allowBlank="true" errorStyle="stop" operator="between" showDropDown="false" showErrorMessage="true" showInputMessage="true" sqref="D2: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K32" activeCellId="0" sqref="K32"/>
    </sheetView>
  </sheetViews>
  <sheetFormatPr defaultColWidth="9.36328125" defaultRowHeight="15" customHeight="true" zeroHeight="false" outlineLevelRow="0" outlineLevelCol="0"/>
  <cols>
    <col collapsed="false" customWidth="true" hidden="false" outlineLevel="0" max="1" min="1" style="1" width="12.36"/>
    <col collapsed="false" customWidth="true" hidden="false" outlineLevel="0" max="2" min="2" style="1" width="11.54"/>
    <col collapsed="false" customWidth="true" hidden="false" outlineLevel="0" max="3" min="3" style="1" width="8.54"/>
    <col collapsed="false" customWidth="true" hidden="false" outlineLevel="0" max="4" min="4" style="1" width="10"/>
    <col collapsed="false" customWidth="false" hidden="false" outlineLevel="0" max="5" min="5" style="1" width="9.36"/>
    <col collapsed="false" customWidth="true" hidden="false" outlineLevel="0" max="6" min="6" style="1" width="21.45"/>
    <col collapsed="false" customWidth="true" hidden="false" outlineLevel="0" max="7" min="7" style="1" width="12.45"/>
    <col collapsed="false" customWidth="true" hidden="false" outlineLevel="0" max="8" min="8" style="1" width="25.63"/>
    <col collapsed="false" customWidth="true" hidden="false" outlineLevel="0" max="9" min="9" style="1" width="19.36"/>
    <col collapsed="false" customWidth="true" hidden="false" outlineLevel="0" max="10" min="10" style="1" width="12.45"/>
    <col collapsed="false" customWidth="true" hidden="false" outlineLevel="0" max="11" min="11" style="1" width="16.54"/>
    <col collapsed="false" customWidth="true" hidden="false" outlineLevel="0" max="12" min="12" style="1" width="16.36"/>
    <col collapsed="false" customWidth="false" hidden="false" outlineLevel="0" max="16384" min="13" style="1" width="9.36"/>
  </cols>
  <sheetData>
    <row r="1" s="2" customFormat="true" ht="15" hidden="false" customHeight="true" outlineLevel="0" collapsed="false">
      <c r="A1" s="15" t="s">
        <v>1217</v>
      </c>
      <c r="B1" s="15" t="s">
        <v>1219</v>
      </c>
      <c r="C1" s="15" t="s">
        <v>362</v>
      </c>
      <c r="D1" s="15" t="s">
        <v>1813</v>
      </c>
      <c r="E1" s="15" t="s">
        <v>1815</v>
      </c>
      <c r="F1" s="1"/>
      <c r="G1" s="44" t="s">
        <v>2051</v>
      </c>
    </row>
  </sheetData>
  <dataValidations count="4">
    <dataValidation allowBlank="true" error="Whole Numbers Only" errorStyle="stop" operator="greaterThanOrEqual" showDropDown="false" showErrorMessage="true" showInputMessage="true" sqref="C2:C1001" type="whole">
      <formula1>1</formula1>
      <formula2>0</formula2>
    </dataValidation>
    <dataValidation allowBlank="true" errorStyle="stop" operator="greaterThanOrEqual" showDropDown="false" showErrorMessage="true" showInputMessage="true" sqref="C1" type="none">
      <formula1>0</formula1>
      <formula2>0</formula2>
    </dataValidation>
    <dataValidation allowBlank="true" error="Only Numbers between 0 and 1" errorStyle="stop" operator="between" showDropDown="false" showErrorMessage="true" showInputMessage="true" sqref="D2:D1001" type="decimal">
      <formula1>0</formula1>
      <formula2>1</formula2>
    </dataValidation>
    <dataValidation allowBlank="true" errorStyle="stop" operator="between" showDropDown="false" showErrorMessage="true" showInputMessage="true" sqref="E2:E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K32" activeCellId="0" sqref="K32"/>
    </sheetView>
  </sheetViews>
  <sheetFormatPr defaultColWidth="23.54296875" defaultRowHeight="15" customHeight="true" zeroHeight="false" outlineLevelRow="0" outlineLevelCol="0"/>
  <cols>
    <col collapsed="false" customWidth="true" hidden="false" outlineLevel="0" max="1" min="1" style="0" width="14.36"/>
    <col collapsed="false" customWidth="true" hidden="false" outlineLevel="0" max="2" min="2" style="0" width="16.54"/>
    <col collapsed="false" customWidth="true" hidden="false" outlineLevel="0" max="3" min="3" style="0" width="11.36"/>
    <col collapsed="false" customWidth="true" hidden="false" outlineLevel="0" max="4" min="4" style="0" width="18.54"/>
    <col collapsed="false" customWidth="true" hidden="false" outlineLevel="0" max="5" min="5" style="0" width="21.63"/>
    <col collapsed="false" customWidth="true" hidden="false" outlineLevel="0" max="6" min="6" style="0" width="19.54"/>
    <col collapsed="false" customWidth="true" hidden="false" outlineLevel="0" max="7" min="7" style="0" width="14.54"/>
    <col collapsed="false" customWidth="true" hidden="false" outlineLevel="0" max="8" min="8" style="0" width="12"/>
    <col collapsed="false" customWidth="true" hidden="false" outlineLevel="0" max="9" min="9" style="0" width="34.54"/>
    <col collapsed="false" customWidth="true" hidden="false" outlineLevel="0" max="10" min="10" style="0" width="6.45"/>
    <col collapsed="false" customWidth="true" hidden="false" outlineLevel="0" max="11" min="11" style="0" width="8.45"/>
    <col collapsed="false" customWidth="true" hidden="false" outlineLevel="0" max="12" min="12" style="0" width="11.54"/>
    <col collapsed="false" customWidth="true" hidden="false" outlineLevel="0" max="13" min="13" style="0" width="4.54"/>
    <col collapsed="false" customWidth="true" hidden="false" outlineLevel="0" max="14" min="14" style="0" width="1.54"/>
    <col collapsed="false" customWidth="true" hidden="false" outlineLevel="0" max="15" min="15" style="0" width="4.45"/>
    <col collapsed="false" customWidth="true" hidden="false" outlineLevel="0" max="17" min="17" style="0" width="31"/>
  </cols>
  <sheetData>
    <row r="1" s="37" customFormat="true" ht="15.75" hidden="false" customHeight="true" outlineLevel="0" collapsed="false">
      <c r="A1" s="15" t="s">
        <v>1011</v>
      </c>
      <c r="B1" s="15" t="s">
        <v>2016</v>
      </c>
      <c r="C1" s="15" t="s">
        <v>2</v>
      </c>
      <c r="D1" s="15" t="s">
        <v>479</v>
      </c>
      <c r="E1" s="15" t="s">
        <v>2052</v>
      </c>
      <c r="F1" s="15" t="s">
        <v>1300</v>
      </c>
      <c r="G1" s="15" t="s">
        <v>1178</v>
      </c>
    </row>
  </sheetData>
  <dataValidations count="1">
    <dataValidation allowBlank="true" errorStyle="stop" operator="between" showDropDown="false" showErrorMessage="true" showInputMessage="true" sqref="D2:D1001" type="list">
      <formula1>Enums!$AA$38:$AA$41</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K35" activeCellId="0" sqref="K35"/>
    </sheetView>
  </sheetViews>
  <sheetFormatPr defaultColWidth="23.54296875" defaultRowHeight="15" customHeight="true" zeroHeight="false" outlineLevelRow="0" outlineLevelCol="0"/>
  <cols>
    <col collapsed="false" customWidth="true" hidden="false" outlineLevel="0" max="1" min="1" style="39" width="16.54"/>
    <col collapsed="false" customWidth="true" hidden="false" outlineLevel="0" max="2" min="2" style="39" width="18.54"/>
    <col collapsed="false" customWidth="true" hidden="false" outlineLevel="0" max="3" min="3" style="39" width="21.63"/>
    <col collapsed="false" customWidth="true" hidden="false" outlineLevel="0" max="4" min="4" style="39" width="13.36"/>
    <col collapsed="false" customWidth="true" hidden="false" outlineLevel="0" max="5" min="5" style="39" width="9.45"/>
    <col collapsed="false" customWidth="true" hidden="false" outlineLevel="0" max="6" min="6" style="39" width="14.54"/>
    <col collapsed="false" customWidth="true" hidden="false" outlineLevel="0" max="7" min="7" style="39" width="13.54"/>
    <col collapsed="false" customWidth="true" hidden="false" outlineLevel="0" max="8" min="8" style="39" width="12"/>
    <col collapsed="false" customWidth="false" hidden="false" outlineLevel="0" max="9" min="9" style="39" width="23.54"/>
    <col collapsed="false" customWidth="true" hidden="false" outlineLevel="0" max="10" min="10" style="39" width="31"/>
    <col collapsed="false" customWidth="false" hidden="false" outlineLevel="0" max="16384" min="11" style="39" width="23.54"/>
  </cols>
  <sheetData>
    <row r="1" s="40" customFormat="true" ht="15.75" hidden="false" customHeight="true" outlineLevel="0" collapsed="false">
      <c r="A1" s="15" t="s">
        <v>2016</v>
      </c>
      <c r="B1" s="15" t="s">
        <v>479</v>
      </c>
      <c r="C1" s="15" t="s">
        <v>2052</v>
      </c>
      <c r="D1" s="15" t="s">
        <v>2045</v>
      </c>
      <c r="E1" s="15" t="s">
        <v>2053</v>
      </c>
      <c r="F1" s="15" t="s">
        <v>771</v>
      </c>
      <c r="G1" s="15" t="s">
        <v>2054</v>
      </c>
    </row>
  </sheetData>
  <dataValidations count="4">
    <dataValidation allowBlank="true" errorStyle="stop" operator="greaterThanOrEqual" showDropDown="false" showErrorMessage="true" showInputMessage="true" sqref="G1" type="none">
      <formula1>0</formula1>
      <formula2>0</formula2>
    </dataValidation>
    <dataValidation allowBlank="true" error="Whole Numbers Only" errorStyle="stop" operator="greaterThanOrEqual" showDropDown="false" showErrorMessage="true" showInputMessage="true" sqref="G2:G1001" type="whole">
      <formula1>0</formula1>
      <formula2>0</formula2>
    </dataValidation>
    <dataValidation allowBlank="true" errorStyle="stop" operator="between" showDropDown="false" showErrorMessage="true" showInputMessage="true" sqref="B2:B1001" type="list">
      <formula1>Enums!$AA$38:$AA$41</formula1>
      <formula2>0</formula2>
    </dataValidation>
    <dataValidation allowBlank="true" errorStyle="stop" operator="between" showDropDown="false" showErrorMessage="true" showInputMessage="true" sqref="F2:F1001" type="list">
      <formula1>Enums!$AE$62:$AE$63</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K35" activeCellId="0" sqref="K35"/>
    </sheetView>
  </sheetViews>
  <sheetFormatPr defaultColWidth="9.36328125" defaultRowHeight="15" customHeight="true" zeroHeight="false" outlineLevelRow="0" outlineLevelCol="0"/>
  <cols>
    <col collapsed="false" customWidth="false" hidden="false" outlineLevel="0" max="1" min="1" style="1" width="9.36"/>
    <col collapsed="false" customWidth="true" hidden="false" outlineLevel="0" max="2" min="2" style="1" width="25"/>
    <col collapsed="false" customWidth="true" hidden="false" outlineLevel="0" max="3" min="3" style="1" width="15.45"/>
    <col collapsed="false" customWidth="true" hidden="false" outlineLevel="0" max="4" min="4" style="1" width="19.63"/>
    <col collapsed="false" customWidth="true" hidden="false" outlineLevel="0" max="5" min="5" style="1" width="19.45"/>
    <col collapsed="false" customWidth="true" hidden="false" outlineLevel="0" max="6" min="6" style="1" width="14.45"/>
    <col collapsed="false" customWidth="true" hidden="false" outlineLevel="0" max="7" min="7" style="1" width="18.63"/>
    <col collapsed="false" customWidth="true" hidden="false" outlineLevel="0" max="8" min="8" style="1" width="18.45"/>
    <col collapsed="false" customWidth="true" hidden="false" outlineLevel="0" max="9" min="9" style="1" width="14.54"/>
    <col collapsed="false" customWidth="false" hidden="false" outlineLevel="0" max="16384" min="10" style="1" width="9.36"/>
  </cols>
  <sheetData>
    <row r="1" customFormat="false" ht="15" hidden="false" customHeight="true" outlineLevel="0" collapsed="false">
      <c r="A1" s="15" t="s">
        <v>386</v>
      </c>
      <c r="B1" s="15" t="s">
        <v>2055</v>
      </c>
      <c r="C1" s="15" t="s">
        <v>2056</v>
      </c>
      <c r="D1" s="15" t="s">
        <v>2057</v>
      </c>
      <c r="E1" s="15" t="s">
        <v>2058</v>
      </c>
      <c r="F1" s="15" t="s">
        <v>2059</v>
      </c>
      <c r="G1" s="15" t="s">
        <v>2060</v>
      </c>
      <c r="H1" s="15" t="s">
        <v>2061</v>
      </c>
      <c r="I1" s="15" t="s">
        <v>2062</v>
      </c>
    </row>
  </sheetData>
  <dataValidations count="2">
    <dataValidation allowBlank="true" error="Numbers Only" errorStyle="stop" operator="greaterThanOrEqual" showDropDown="false" showErrorMessage="true" showInputMessage="true" sqref="C2:E1001" type="decimal">
      <formula1>0</formula1>
      <formula2>0</formula2>
    </dataValidation>
    <dataValidation allowBlank="true" errorStyle="stop" operator="greaterThanOrEqual" showDropDown="false" showErrorMessage="true" showInputMessage="true" sqref="1:1" type="none">
      <formula1>0</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2" activeCellId="0" sqref="C2"/>
    </sheetView>
  </sheetViews>
  <sheetFormatPr defaultColWidth="9.36328125" defaultRowHeight="15" customHeight="true" zeroHeight="false" outlineLevelRow="0" outlineLevelCol="0"/>
  <cols>
    <col collapsed="false" customWidth="true" hidden="false" outlineLevel="0" max="1" min="1" style="1" width="27.54"/>
    <col collapsed="false" customWidth="true" hidden="false" outlineLevel="0" max="2" min="2" style="1" width="11.36"/>
    <col collapsed="false" customWidth="true" hidden="false" outlineLevel="0" max="3" min="3" style="1" width="10.54"/>
    <col collapsed="false" customWidth="true" hidden="false" outlineLevel="0" max="4" min="4" style="1" width="16"/>
    <col collapsed="false" customWidth="true" hidden="false" outlineLevel="0" max="5" min="5" style="1" width="20.63"/>
    <col collapsed="false" customWidth="false" hidden="false" outlineLevel="0" max="16384" min="6" style="1" width="9.36"/>
  </cols>
  <sheetData>
    <row r="1" s="2" customFormat="true" ht="15" hidden="false" customHeight="true" outlineLevel="0" collapsed="false">
      <c r="A1" s="15" t="s">
        <v>1011</v>
      </c>
      <c r="B1" s="15" t="s">
        <v>2</v>
      </c>
      <c r="C1" s="15" t="s">
        <v>1251</v>
      </c>
      <c r="D1" s="15" t="s">
        <v>1229</v>
      </c>
      <c r="E1" s="15" t="s">
        <v>1236</v>
      </c>
    </row>
  </sheetData>
  <dataValidations count="2">
    <dataValidation allowBlank="true" error="Whole Numbers Only" errorStyle="stop" operator="greaterThanOrEqual" showDropDown="false" showErrorMessage="true" showInputMessage="true" sqref="E3:E1001" type="whole">
      <formula1>0</formula1>
      <formula2>0</formula2>
    </dataValidation>
    <dataValidation allowBlank="true" errorStyle="stop" operator="between" showDropDown="false" showErrorMessage="true" showInputMessage="true" sqref="D3: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K35" activeCellId="0" sqref="K35"/>
    </sheetView>
  </sheetViews>
  <sheetFormatPr defaultColWidth="9.36328125" defaultRowHeight="15" customHeight="true" zeroHeight="false" outlineLevelRow="0" outlineLevelCol="0"/>
  <cols>
    <col collapsed="false" customWidth="true" hidden="false" outlineLevel="0" max="1" min="1" style="1" width="23.63"/>
    <col collapsed="false" customWidth="true" hidden="false" outlineLevel="0" max="2" min="2" style="1" width="18.63"/>
    <col collapsed="false" customWidth="true" hidden="false" outlineLevel="0" max="3" min="3" style="1" width="11.36"/>
    <col collapsed="false" customWidth="true" hidden="false" outlineLevel="0" max="4" min="4" style="1" width="8.45"/>
    <col collapsed="false" customWidth="true" hidden="false" outlineLevel="0" max="5" min="5" style="0" width="5.54"/>
    <col collapsed="false" customWidth="true" hidden="false" outlineLevel="0" max="6" min="6" style="1" width="12.36"/>
    <col collapsed="false" customWidth="true" hidden="false" outlineLevel="0" max="7" min="7" style="1" width="14.54"/>
    <col collapsed="false" customWidth="true" hidden="false" outlineLevel="0" max="8" min="8" style="1" width="15.54"/>
    <col collapsed="false" customWidth="true" hidden="false" outlineLevel="0" max="9" min="9" style="1" width="10.45"/>
    <col collapsed="false" customWidth="true" hidden="false" outlineLevel="0" max="10" min="10" style="1" width="4.54"/>
    <col collapsed="false" customWidth="false" hidden="false" outlineLevel="0" max="11" min="11" style="1" width="9.36"/>
    <col collapsed="false" customWidth="true" hidden="false" outlineLevel="0" max="13" min="12" style="1" width="15.54"/>
    <col collapsed="false" customWidth="true" hidden="false" outlineLevel="0" max="14" min="14" style="1" width="12.54"/>
    <col collapsed="false" customWidth="true" hidden="false" outlineLevel="0" max="15" min="15" style="1" width="11.45"/>
    <col collapsed="false" customWidth="false" hidden="false" outlineLevel="0" max="16384" min="16" style="1" width="9.36"/>
  </cols>
  <sheetData>
    <row r="1" s="2" customFormat="true" ht="15" hidden="false" customHeight="true" outlineLevel="0" collapsed="false">
      <c r="A1" s="15" t="s">
        <v>627</v>
      </c>
      <c r="B1" s="15" t="s">
        <v>1011</v>
      </c>
      <c r="C1" s="15" t="s">
        <v>2</v>
      </c>
      <c r="D1" s="15" t="s">
        <v>812</v>
      </c>
      <c r="E1" s="15" t="s">
        <v>2063</v>
      </c>
      <c r="F1" s="15" t="s">
        <v>1260</v>
      </c>
      <c r="G1" s="15" t="s">
        <v>560</v>
      </c>
      <c r="H1" s="15" t="s">
        <v>1252</v>
      </c>
      <c r="I1" s="15" t="s">
        <v>717</v>
      </c>
      <c r="J1" s="15" t="s">
        <v>2064</v>
      </c>
      <c r="K1" s="15" t="s">
        <v>1725</v>
      </c>
      <c r="L1" s="15" t="s">
        <v>1263</v>
      </c>
      <c r="M1" s="15" t="s">
        <v>1264</v>
      </c>
      <c r="N1" s="15" t="s">
        <v>1255</v>
      </c>
    </row>
  </sheetData>
  <dataValidations count="6">
    <dataValidation allowBlank="true" errorStyle="stop" operator="greaterThanOrEqual" showDropDown="false" showErrorMessage="true" showInputMessage="true" sqref="D1 J1:K1" type="none">
      <formula1>0</formula1>
      <formula2>0</formula2>
    </dataValidation>
    <dataValidation allowBlank="true" error="Whole numbers Only" errorStyle="stop" operator="greaterThanOrEqual" showDropDown="false" showErrorMessage="true" showInputMessage="true" sqref="D5:D1001" type="whole">
      <formula1>1</formula1>
      <formula2>0</formula2>
    </dataValidation>
    <dataValidation allowBlank="true" error="Whole Numbers Only" errorStyle="stop" operator="greaterThanOrEqual" showDropDown="false" showErrorMessage="true" showInputMessage="true" sqref="J5:K1001" type="whole">
      <formula1>0</formula1>
      <formula2>0</formula2>
    </dataValidation>
    <dataValidation allowBlank="true" errorStyle="stop" operator="between" showDropDown="false" showErrorMessage="true" showInputMessage="true" sqref="E5:F1001" type="list">
      <formula1>Enums!$A$34:$A$35</formula1>
      <formula2>0</formula2>
    </dataValidation>
    <dataValidation allowBlank="true" errorStyle="stop" operator="between" showDropDown="false" showErrorMessage="true" showInputMessage="true" sqref="G5:G1001" type="list">
      <formula1>Enums!$Q$45:$Q$55</formula1>
      <formula2>0</formula2>
    </dataValidation>
    <dataValidation allowBlank="true" errorStyle="stop" operator="between" showDropDown="false" showErrorMessage="true" showInputMessage="true" sqref="I5:I1001" type="list">
      <formula1>Enums!$Q$58:$Q$79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5" activeCellId="0" sqref="K35"/>
    </sheetView>
  </sheetViews>
  <sheetFormatPr defaultColWidth="9.36328125" defaultRowHeight="15" customHeight="true" zeroHeight="false" outlineLevelRow="0" outlineLevelCol="0"/>
  <cols>
    <col collapsed="false" customWidth="true" hidden="false" outlineLevel="0" max="1" min="1" style="39" width="52.54"/>
    <col collapsed="false" customWidth="true" hidden="false" outlineLevel="0" max="2" min="2" style="39" width="37"/>
    <col collapsed="false" customWidth="true" hidden="false" outlineLevel="0" max="3" min="3" style="39" width="24.45"/>
    <col collapsed="false" customWidth="true" hidden="false" outlineLevel="0" max="4" min="4" style="39" width="9.54"/>
    <col collapsed="false" customWidth="false" hidden="false" outlineLevel="0" max="16384" min="5" style="39" width="9.36"/>
  </cols>
  <sheetData>
    <row r="1" s="45" customFormat="true" ht="15" hidden="false" customHeight="true" outlineLevel="0" collapsed="false">
      <c r="A1" s="15" t="s">
        <v>1108</v>
      </c>
      <c r="B1" s="15" t="s">
        <v>2065</v>
      </c>
      <c r="C1" s="15" t="s">
        <v>313</v>
      </c>
      <c r="D1" s="15" t="s">
        <v>1189</v>
      </c>
    </row>
  </sheetData>
  <dataValidations count="1">
    <dataValidation allowBlank="true" errorStyle="stop" operator="between" showDropDown="false" showErrorMessage="true" showInputMessage="true" sqref="D5: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5" activeCellId="0" sqref="K35"/>
    </sheetView>
  </sheetViews>
  <sheetFormatPr defaultColWidth="8.6796875" defaultRowHeight="15" customHeight="true" zeroHeight="false" outlineLevelRow="0" outlineLevelCol="0"/>
  <cols>
    <col collapsed="false" customWidth="true" hidden="false" outlineLevel="0" max="1" min="1" style="0" width="10.36"/>
  </cols>
  <sheetData>
    <row r="1" s="42" customFormat="true" ht="15" hidden="false" customHeight="true" outlineLevel="0" collapsed="false">
      <c r="A1" s="15" t="s">
        <v>2066</v>
      </c>
      <c r="B1" s="15" t="s">
        <v>2067</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K35" activeCellId="0" sqref="K35"/>
    </sheetView>
  </sheetViews>
  <sheetFormatPr defaultColWidth="8.6796875" defaultRowHeight="15" customHeight="true" zeroHeight="false" outlineLevelRow="0" outlineLevelCol="0"/>
  <cols>
    <col collapsed="false" customWidth="true" hidden="false" outlineLevel="0" max="1" min="1" style="0" width="8.45"/>
    <col collapsed="false" customWidth="true" hidden="false" outlineLevel="0" max="2" min="2" style="0" width="4.54"/>
    <col collapsed="false" customWidth="true" hidden="false" outlineLevel="0" max="3" min="3" style="0" width="5.45"/>
    <col collapsed="false" customWidth="true" hidden="false" outlineLevel="0" max="4" min="4" style="0" width="19.54"/>
  </cols>
  <sheetData>
    <row r="1" s="42" customFormat="true" ht="15" hidden="false" customHeight="true" outlineLevel="0" collapsed="false">
      <c r="A1" s="15" t="s">
        <v>1279</v>
      </c>
      <c r="B1" s="15" t="s">
        <v>733</v>
      </c>
      <c r="C1" s="15" t="s">
        <v>1280</v>
      </c>
      <c r="D1" s="15" t="s">
        <v>2068</v>
      </c>
    </row>
  </sheetData>
  <dataValidations count="2">
    <dataValidation allowBlank="true" error="Whole Numbers Only" errorStyle="stop" operator="greaterThanOrEqual" showDropDown="false" showErrorMessage="true" showInputMessage="true" sqref="C2:D1001" type="whole">
      <formula1>1</formula1>
      <formula2>0</formula2>
    </dataValidation>
    <dataValidation allowBlank="true" errorStyle="stop" operator="greaterThanOrEqual" showDropDown="false" showErrorMessage="true" showInputMessage="true" sqref="1: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M32" activeCellId="0" sqref="M32"/>
    </sheetView>
  </sheetViews>
  <sheetFormatPr defaultColWidth="8.6796875" defaultRowHeight="14.25" customHeight="false" zeroHeight="false" outlineLevelRow="0" outlineLevelCol="0"/>
  <cols>
    <col collapsed="false" customWidth="true" hidden="false" outlineLevel="0" max="1" min="1" style="0" width="7.54"/>
    <col collapsed="false" customWidth="true" hidden="false" outlineLevel="0" max="2" min="2" style="0" width="5.45"/>
    <col collapsed="false" customWidth="true" hidden="false" outlineLevel="0" max="3" min="3" style="0" width="19.54"/>
    <col collapsed="false" customWidth="true" hidden="false" outlineLevel="0" max="4" min="4" style="0" width="9"/>
  </cols>
  <sheetData>
    <row r="1" customFormat="false" ht="14.25" hidden="false" customHeight="false" outlineLevel="0" collapsed="false">
      <c r="A1" s="81" t="s">
        <v>354</v>
      </c>
      <c r="B1" s="81" t="s">
        <v>1280</v>
      </c>
      <c r="C1" s="81" t="s">
        <v>2068</v>
      </c>
      <c r="D1" s="81" t="s">
        <v>1281</v>
      </c>
    </row>
  </sheetData>
  <dataValidations count="2">
    <dataValidation allowBlank="true" error="Whole Numbers Only. &gt;0" errorStyle="stop" operator="greaterThan" showDropDown="false" showErrorMessage="true" showInputMessage="true" sqref="B2:C1001" type="whole">
      <formula1>0</formula1>
      <formula2>0</formula2>
    </dataValidation>
    <dataValidation allowBlank="true" errorStyle="stop" operator="between" showDropDown="false" showErrorMessage="true" showInputMessage="true" sqref="D2: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M32" activeCellId="0" sqref="M32"/>
    </sheetView>
  </sheetViews>
  <sheetFormatPr defaultColWidth="8.6796875" defaultRowHeight="14.25" customHeight="false" zeroHeight="false" outlineLevelRow="0" outlineLevelCol="0"/>
  <cols>
    <col collapsed="false" customWidth="true" hidden="false" outlineLevel="0" max="1" min="1" style="0" width="7.54"/>
    <col collapsed="false" customWidth="true" hidden="false" outlineLevel="0" max="2" min="2" style="0" width="5.45"/>
    <col collapsed="false" customWidth="true" hidden="false" outlineLevel="0" max="3" min="3" style="0" width="19.54"/>
    <col collapsed="false" customWidth="true" hidden="false" outlineLevel="0" max="4" min="4" style="0" width="9"/>
  </cols>
  <sheetData>
    <row r="1" customFormat="false" ht="14.25" hidden="false" customHeight="false" outlineLevel="0" collapsed="false">
      <c r="A1" s="81" t="s">
        <v>354</v>
      </c>
      <c r="B1" s="81" t="s">
        <v>1280</v>
      </c>
      <c r="C1" s="81" t="s">
        <v>2068</v>
      </c>
      <c r="D1" s="81" t="s">
        <v>1281</v>
      </c>
    </row>
  </sheetData>
  <dataValidations count="2">
    <dataValidation allowBlank="true" error="Whole Numbers Only. &gt;0" errorStyle="stop" operator="greaterThanOrEqual" showDropDown="false" showErrorMessage="true" showInputMessage="true" sqref="B2:C1001" type="whole">
      <formula1>0</formula1>
      <formula2>0</formula2>
    </dataValidation>
    <dataValidation allowBlank="true" errorStyle="stop" operator="between" showDropDown="false" showErrorMessage="true" showInputMessage="true" sqref="D2:D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M32" activeCellId="0" sqref="M32"/>
    </sheetView>
  </sheetViews>
  <sheetFormatPr defaultColWidth="8.6796875" defaultRowHeight="15" customHeight="true" zeroHeight="false" outlineLevelRow="0" outlineLevelCol="0"/>
  <cols>
    <col collapsed="false" customWidth="true" hidden="false" outlineLevel="0" max="1" min="1" style="0" width="13.45"/>
    <col collapsed="false" customWidth="true" hidden="false" outlineLevel="0" max="2" min="2" style="0" width="9.45"/>
    <col collapsed="false" customWidth="true" hidden="false" outlineLevel="0" max="3" min="3" style="0" width="7"/>
    <col collapsed="false" customWidth="true" hidden="false" outlineLevel="0" max="4" min="4" style="0" width="16.54"/>
  </cols>
  <sheetData>
    <row r="1" customFormat="false" ht="15" hidden="false" customHeight="true" outlineLevel="0" collapsed="false">
      <c r="A1" s="15" t="s">
        <v>2069</v>
      </c>
      <c r="B1" s="15" t="s">
        <v>2070</v>
      </c>
      <c r="C1" s="15" t="s">
        <v>2071</v>
      </c>
      <c r="D1" s="15" t="s">
        <v>2072</v>
      </c>
    </row>
  </sheetData>
  <dataValidations count="1">
    <dataValidation allowBlank="true" error="Numbers Only" errorStyle="stop" operator="between" showDropDown="false" showErrorMessage="true" showInputMessage="true" sqref="D2:D1001" type="decimal">
      <formula1>-9.99999999999999E+021</formula1>
      <formula2>9.99999999999999E+022</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M32" activeCellId="0" sqref="M32"/>
    </sheetView>
  </sheetViews>
  <sheetFormatPr defaultColWidth="9.36328125" defaultRowHeight="15" customHeight="true" zeroHeight="false" outlineLevelRow="0" outlineLevelCol="0"/>
  <cols>
    <col collapsed="false" customWidth="true" hidden="false" outlineLevel="0" max="1" min="1" style="1" width="9.45"/>
    <col collapsed="false" customWidth="true" hidden="false" outlineLevel="0" max="2" min="2" style="1" width="7"/>
    <col collapsed="false" customWidth="true" hidden="false" outlineLevel="0" max="3" min="3" style="1" width="16.54"/>
    <col collapsed="false" customWidth="false" hidden="false" outlineLevel="0" max="16384" min="4" style="1" width="9.36"/>
  </cols>
  <sheetData>
    <row r="1" customFormat="false" ht="15" hidden="false" customHeight="true" outlineLevel="0" collapsed="false">
      <c r="A1" s="15" t="s">
        <v>2070</v>
      </c>
      <c r="B1" s="15" t="s">
        <v>2071</v>
      </c>
      <c r="C1" s="15" t="s">
        <v>2072</v>
      </c>
    </row>
  </sheetData>
  <dataValidations count="1">
    <dataValidation allowBlank="true" error="Numbers Only" errorStyle="stop" operator="between" showDropDown="false" showErrorMessage="true" showInputMessage="true" sqref="C1:C1001" type="decimal">
      <formula1>-9.99999999999999E+022</formula1>
      <formula2>9.99999999999999E+023</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M32" activeCellId="0" sqref="M3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10.54"/>
    <col collapsed="false" customWidth="true" hidden="false" outlineLevel="0" max="4" min="4" style="1" width="16"/>
    <col collapsed="false" customWidth="true" hidden="false" outlineLevel="0" max="5" min="5" style="1" width="20.63"/>
    <col collapsed="false" customWidth="true" hidden="false" outlineLevel="0" max="6" min="6" style="1" width="24.63"/>
    <col collapsed="false" customWidth="true" hidden="false" outlineLevel="0" max="7" min="7" style="1" width="17.54"/>
    <col collapsed="false" customWidth="true" hidden="false" outlineLevel="0" max="8" min="8" style="0" width="17.45"/>
    <col collapsed="false" customWidth="true" hidden="false" outlineLevel="0" max="9" min="9" style="1" width="18.45"/>
    <col collapsed="false" customWidth="true" hidden="false" outlineLevel="0" max="10" min="10" style="1" width="20.54"/>
    <col collapsed="false" customWidth="false" hidden="false" outlineLevel="0" max="16384" min="11" style="1" width="9.36"/>
  </cols>
  <sheetData>
    <row r="1" s="2" customFormat="true" ht="15" hidden="false" customHeight="true" outlineLevel="0" collapsed="false">
      <c r="A1" s="15" t="s">
        <v>1011</v>
      </c>
      <c r="B1" s="15" t="s">
        <v>2</v>
      </c>
      <c r="C1" s="15" t="s">
        <v>1251</v>
      </c>
      <c r="D1" s="15" t="s">
        <v>1229</v>
      </c>
      <c r="E1" s="15" t="s">
        <v>1236</v>
      </c>
      <c r="F1" s="15" t="s">
        <v>2073</v>
      </c>
      <c r="G1" s="15" t="s">
        <v>2074</v>
      </c>
      <c r="H1" s="15" t="s">
        <v>2075</v>
      </c>
      <c r="I1" s="15" t="s">
        <v>2076</v>
      </c>
    </row>
  </sheetData>
  <dataValidations count="2">
    <dataValidation allowBlank="true" error="Whole Numbers Only" errorStyle="stop" errorTitle="Whole Numbers Only" operator="between" showDropDown="false" showErrorMessage="true" showInputMessage="true" sqref="E2:E1001" type="whole">
      <formula1>0</formula1>
      <formula2>9999999999</formula2>
    </dataValidation>
    <dataValidation allowBlank="true" errorStyle="stop" operator="between" showDropDown="false" showErrorMessage="true" showInputMessage="true" sqref="D2:D1001 F2:G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M32" activeCellId="0" sqref="M32"/>
    </sheetView>
  </sheetViews>
  <sheetFormatPr defaultColWidth="10.6328125" defaultRowHeight="15" customHeight="true" zeroHeight="false" outlineLevelRow="0" outlineLevelCol="0"/>
  <cols>
    <col collapsed="false" customWidth="true" hidden="false" outlineLevel="0" max="1" min="1" style="1" width="11"/>
    <col collapsed="false" customWidth="true" hidden="false" outlineLevel="0" max="2" min="2" style="1" width="6.45"/>
    <col collapsed="false" customWidth="true" hidden="false" outlineLevel="0" max="3" min="3" style="1" width="11.36"/>
    <col collapsed="false" customWidth="true" hidden="false" outlineLevel="0" max="4" min="4" style="1" width="8.45"/>
    <col collapsed="false" customWidth="true" hidden="false" outlineLevel="0" max="5" min="5" style="0" width="5.54"/>
    <col collapsed="false" customWidth="true" hidden="false" outlineLevel="0" max="6" min="6" style="1" width="12.36"/>
    <col collapsed="false" customWidth="true" hidden="false" outlineLevel="0" max="7" min="7" style="1" width="9.54"/>
    <col collapsed="false" customWidth="true" hidden="false" outlineLevel="0" max="8" min="8" style="1" width="14.54"/>
    <col collapsed="false" customWidth="true" hidden="false" outlineLevel="0" max="9" min="9" style="1" width="15.54"/>
    <col collapsed="false" customWidth="true" hidden="false" outlineLevel="0" max="10" min="10" style="35" width="10.45"/>
    <col collapsed="false" customWidth="true" hidden="false" outlineLevel="0" max="11" min="11" style="1" width="4.54"/>
    <col collapsed="false" customWidth="true" hidden="false" outlineLevel="0" max="12" min="12" style="1" width="9.36"/>
    <col collapsed="false" customWidth="true" hidden="false" outlineLevel="0" max="14" min="13" style="1" width="15.54"/>
    <col collapsed="false" customWidth="false" hidden="false" outlineLevel="0" max="16384" min="15" style="1" width="10.63"/>
  </cols>
  <sheetData>
    <row r="1" s="2" customFormat="true" ht="15" hidden="false" customHeight="true" outlineLevel="0" collapsed="false">
      <c r="A1" s="15" t="s">
        <v>684</v>
      </c>
      <c r="B1" s="15" t="s">
        <v>1011</v>
      </c>
      <c r="C1" s="15" t="s">
        <v>2</v>
      </c>
      <c r="D1" s="15" t="s">
        <v>812</v>
      </c>
      <c r="E1" s="15" t="s">
        <v>2063</v>
      </c>
      <c r="F1" s="15" t="s">
        <v>1260</v>
      </c>
      <c r="G1" s="15" t="s">
        <v>1259</v>
      </c>
      <c r="H1" s="15" t="s">
        <v>560</v>
      </c>
      <c r="I1" s="15" t="s">
        <v>1252</v>
      </c>
      <c r="J1" s="15" t="s">
        <v>717</v>
      </c>
      <c r="K1" s="15" t="s">
        <v>2064</v>
      </c>
      <c r="L1" s="15" t="s">
        <v>1725</v>
      </c>
      <c r="M1" s="15" t="s">
        <v>1263</v>
      </c>
      <c r="N1" s="15" t="s">
        <v>1264</v>
      </c>
    </row>
  </sheetData>
  <dataValidations count="6">
    <dataValidation allowBlank="true" errorStyle="stop" operator="greaterThanOrEqual" showDropDown="false" showErrorMessage="true" showInputMessage="true" sqref="D2:D1001" type="whole">
      <formula1>1</formula1>
      <formula2>0</formula2>
    </dataValidation>
    <dataValidation allowBlank="true" errorStyle="stop" operator="greaterThanOrEqual" showDropDown="false" showErrorMessage="true" showInputMessage="true" sqref="D1" type="none">
      <formula1>0</formula1>
      <formula2>0</formula2>
    </dataValidation>
    <dataValidation allowBlank="true" error="Whole Numbers Only" errorStyle="stop" errorTitle="Whole Numbers Only" operator="between" showDropDown="false" showErrorMessage="true" showInputMessage="true" sqref="K2:L19 L20:M1001" type="whole">
      <formula1>0</formula1>
      <formula2>999999999</formula2>
    </dataValidation>
    <dataValidation allowBlank="true" errorStyle="stop" operator="between" showDropDown="false" showErrorMessage="true" showInputMessage="true" sqref="E2:G19 F20:H1001" type="list">
      <formula1>Enums!$A$34:$A$35</formula1>
      <formula2>0</formula2>
    </dataValidation>
    <dataValidation allowBlank="true" errorStyle="stop" operator="between" showDropDown="false" showErrorMessage="true" showInputMessage="true" sqref="H2:H19 I20:I1001" type="list">
      <formula1>Enums!$Q$45:$Q$55</formula1>
      <formula2>0</formula2>
    </dataValidation>
    <dataValidation allowBlank="true" errorStyle="stop" operator="between" showDropDown="false" showErrorMessage="true" showInputMessage="true" sqref="J2:J1001" type="list">
      <formula1>Enums!$Q$58:$Q$79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M32" activeCellId="0" sqref="M32"/>
    </sheetView>
  </sheetViews>
  <sheetFormatPr defaultColWidth="8.6796875" defaultRowHeight="15" customHeight="true" zeroHeight="false" outlineLevelRow="0" outlineLevelCol="0"/>
  <cols>
    <col collapsed="false" customWidth="true" hidden="false" outlineLevel="0" max="1" min="1" style="0" width="11"/>
    <col collapsed="false" customWidth="true" hidden="false" outlineLevel="0" max="7" min="2" style="0" width="15.63"/>
  </cols>
  <sheetData>
    <row r="1" s="42" customFormat="true" ht="15" hidden="false" customHeight="true" outlineLevel="0" collapsed="false">
      <c r="A1" s="15" t="s">
        <v>684</v>
      </c>
      <c r="B1" s="15" t="s">
        <v>2077</v>
      </c>
      <c r="C1" s="15" t="s">
        <v>2078</v>
      </c>
      <c r="D1" s="15" t="s">
        <v>2079</v>
      </c>
      <c r="E1" s="15" t="s">
        <v>2080</v>
      </c>
      <c r="F1" s="15" t="s">
        <v>2081</v>
      </c>
      <c r="G1" s="15" t="s">
        <v>2082</v>
      </c>
    </row>
  </sheetData>
  <dataValidations count="1">
    <dataValidation allowBlank="true" errorStyle="stop" operator="between" showDropDown="false" showErrorMessage="true" showInputMessage="true" sqref="E2:F2" type="list">
      <formula1>"Yes,No"</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9.36328125" defaultRowHeight="15" customHeight="true" zeroHeight="false" outlineLevelRow="0" outlineLevelCol="0"/>
  <cols>
    <col collapsed="false" customWidth="true" hidden="false" outlineLevel="0" max="1" min="1" style="35" width="15"/>
    <col collapsed="false" customWidth="true" hidden="false" outlineLevel="0" max="2" min="2" style="35" width="10.45"/>
    <col collapsed="false" customWidth="true" hidden="false" outlineLevel="0" max="3" min="3" style="35" width="23.54"/>
    <col collapsed="false" customWidth="true" hidden="false" outlineLevel="0" max="4" min="4" style="35" width="45.45"/>
    <col collapsed="false" customWidth="true" hidden="false" outlineLevel="0" max="5" min="5" style="35" width="45.36"/>
    <col collapsed="false" customWidth="false" hidden="false" outlineLevel="0" max="16384" min="6" style="35" width="9.36"/>
  </cols>
  <sheetData>
    <row r="1" customFormat="false" ht="15" hidden="false" customHeight="true" outlineLevel="0" collapsed="false">
      <c r="A1" s="15" t="s">
        <v>2083</v>
      </c>
      <c r="B1" s="15" t="s">
        <v>584</v>
      </c>
      <c r="C1" s="34" t="s">
        <v>2084</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8.6328125" defaultRowHeight="15" customHeight="true" zeroHeight="false" outlineLevelRow="0" outlineLevelCol="0"/>
  <cols>
    <col collapsed="false" customWidth="true" hidden="false" outlineLevel="0" max="1" min="1" style="1" width="4.45"/>
    <col collapsed="false" customWidth="true" hidden="false" outlineLevel="0" max="2" min="2" style="1" width="12.45"/>
    <col collapsed="false" customWidth="true" hidden="false" outlineLevel="0" max="3" min="3" style="1" width="11.63"/>
    <col collapsed="false" customWidth="true" hidden="false" outlineLevel="0" max="4" min="4" style="1" width="7.45"/>
    <col collapsed="false" customWidth="true" hidden="false" outlineLevel="0" max="5" min="5" style="1" width="5.45"/>
    <col collapsed="false" customWidth="true" hidden="false" outlineLevel="0" max="6" min="6" style="1" width="5"/>
    <col collapsed="false" customWidth="true" hidden="false" outlineLevel="0" max="7" min="7" style="1" width="9.36"/>
    <col collapsed="false" customWidth="true" hidden="false" outlineLevel="0" max="8" min="8" style="1" width="23.45"/>
    <col collapsed="false" customWidth="true" hidden="false" outlineLevel="0" max="9" min="9" style="1" width="6.36"/>
    <col collapsed="false" customWidth="false" hidden="false" outlineLevel="0" max="16384" min="10" style="1" width="8.63"/>
  </cols>
  <sheetData>
    <row r="1" s="75" customFormat="true" ht="15.75" hidden="false" customHeight="true" outlineLevel="0" collapsed="false">
      <c r="A1" s="15" t="s">
        <v>2085</v>
      </c>
      <c r="B1" s="15" t="s">
        <v>1190</v>
      </c>
      <c r="C1" s="15" t="s">
        <v>1193</v>
      </c>
      <c r="D1" s="15" t="s">
        <v>922</v>
      </c>
      <c r="E1" s="15" t="s">
        <v>490</v>
      </c>
      <c r="F1" s="15" t="s">
        <v>948</v>
      </c>
      <c r="G1" s="15" t="s">
        <v>386</v>
      </c>
      <c r="H1" s="15" t="s">
        <v>2086</v>
      </c>
      <c r="I1" s="15" t="s">
        <v>313</v>
      </c>
    </row>
  </sheetData>
  <dataValidations count="1">
    <dataValidation allowBlank="true" errorStyle="stop" operator="between" showDropDown="false" showErrorMessage="true" showInputMessage="true" sqref="H2:H1001" type="list">
      <formula1>Enums!$O$37:$O$44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8.6328125" defaultRowHeight="15" customHeight="true" zeroHeight="false" outlineLevelRow="0" outlineLevelCol="0"/>
  <cols>
    <col collapsed="false" customWidth="true" hidden="false" outlineLevel="0" max="1" min="1" style="75" width="5.45"/>
    <col collapsed="false" customWidth="true" hidden="false" outlineLevel="0" max="2" min="2" style="75" width="7.45"/>
    <col collapsed="false" customWidth="true" hidden="false" outlineLevel="0" max="3" min="3" style="75" width="18.54"/>
    <col collapsed="false" customWidth="false" hidden="false" outlineLevel="0" max="16384" min="4" style="75" width="8.63"/>
  </cols>
  <sheetData>
    <row r="1" customFormat="false" ht="15" hidden="false" customHeight="true" outlineLevel="0" collapsed="false">
      <c r="A1" s="15" t="s">
        <v>490</v>
      </c>
      <c r="B1" s="15" t="s">
        <v>922</v>
      </c>
      <c r="C1" s="15" t="s">
        <v>2087</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C10" activeCellId="0" sqref="C10"/>
    </sheetView>
  </sheetViews>
  <sheetFormatPr defaultColWidth="9.36328125" defaultRowHeight="15" customHeight="true" zeroHeight="false" outlineLevelRow="0" outlineLevelCol="0"/>
  <cols>
    <col collapsed="false" customWidth="true" hidden="false" outlineLevel="0" max="1" min="1" style="53" width="10.45"/>
    <col collapsed="false" customWidth="true" hidden="false" outlineLevel="0" max="2" min="2" style="53" width="14.63"/>
    <col collapsed="false" customWidth="true" hidden="false" outlineLevel="0" max="3" min="3" style="53" width="13.36"/>
    <col collapsed="false" customWidth="true" hidden="false" outlineLevel="0" max="4" min="4" style="53" width="30.54"/>
    <col collapsed="false" customWidth="false" hidden="false" outlineLevel="0" max="6" min="5" style="53" width="9.36"/>
    <col collapsed="false" customWidth="true" hidden="false" outlineLevel="0" max="7" min="7" style="53" width="11.54"/>
    <col collapsed="false" customWidth="false" hidden="false" outlineLevel="0" max="16384" min="8" style="53" width="9.36"/>
  </cols>
  <sheetData>
    <row r="1" customFormat="false" ht="15.75" hidden="false" customHeight="true" outlineLevel="0" collapsed="false">
      <c r="A1" s="15" t="s">
        <v>584</v>
      </c>
      <c r="B1" s="15" t="s">
        <v>2088</v>
      </c>
      <c r="C1" s="15" t="s">
        <v>1284</v>
      </c>
      <c r="D1" s="15" t="s">
        <v>1285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9.36328125" defaultRowHeight="15" customHeight="true" zeroHeight="false" outlineLevelRow="0" outlineLevelCol="0"/>
  <cols>
    <col collapsed="false" customWidth="true" hidden="false" outlineLevel="0" max="1" min="1" style="53" width="12"/>
    <col collapsed="false" customWidth="true" hidden="false" outlineLevel="0" max="2" min="2" style="53" width="9.54"/>
    <col collapsed="false" customWidth="true" hidden="false" outlineLevel="0" max="3" min="3" style="53" width="13.45"/>
    <col collapsed="false" customWidth="true" hidden="false" outlineLevel="0" max="4" min="4" style="53" width="12.45"/>
    <col collapsed="false" customWidth="true" hidden="false" outlineLevel="0" max="5" min="5" style="53" width="12"/>
    <col collapsed="false" customWidth="true" hidden="false" outlineLevel="0" max="6" min="6" style="53" width="24.54"/>
    <col collapsed="false" customWidth="true" hidden="false" outlineLevel="0" max="7" min="7" style="53" width="9.54"/>
    <col collapsed="false" customWidth="false" hidden="false" outlineLevel="0" max="9" min="8" style="53" width="9.36"/>
    <col collapsed="false" customWidth="true" hidden="false" outlineLevel="0" max="10" min="10" style="53" width="11.54"/>
    <col collapsed="false" customWidth="false" hidden="false" outlineLevel="0" max="16384" min="11" style="53" width="9.36"/>
  </cols>
  <sheetData>
    <row r="1" customFormat="false" ht="15.75" hidden="false" customHeight="true" outlineLevel="0" collapsed="false">
      <c r="A1" s="15" t="s">
        <v>2089</v>
      </c>
      <c r="B1" s="15" t="s">
        <v>2090</v>
      </c>
      <c r="C1" s="15" t="s">
        <v>1206</v>
      </c>
      <c r="D1" s="15" t="s">
        <v>2091</v>
      </c>
      <c r="E1" s="15" t="s">
        <v>2092</v>
      </c>
      <c r="F1" s="15" t="s">
        <v>2093</v>
      </c>
      <c r="G1" s="15" t="s">
        <v>1189</v>
      </c>
    </row>
  </sheetData>
  <dataValidations count="1">
    <dataValidation allowBlank="true" errorStyle="stop" operator="between" showDropDown="false" showErrorMessage="true" showInputMessage="true" sqref="G2:G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9.36328125" defaultRowHeight="15" customHeight="true" zeroHeight="false" outlineLevelRow="0" outlineLevelCol="0"/>
  <cols>
    <col collapsed="false" customWidth="true" hidden="false" outlineLevel="0" max="1" min="1" style="53" width="9.45"/>
    <col collapsed="false" customWidth="true" hidden="false" outlineLevel="0" max="2" min="2" style="53" width="11.63"/>
    <col collapsed="false" customWidth="true" hidden="false" outlineLevel="0" max="3" min="3" style="53" width="12.45"/>
    <col collapsed="false" customWidth="true" hidden="false" outlineLevel="0" max="4" min="4" style="53" width="7.45"/>
    <col collapsed="false" customWidth="false" hidden="false" outlineLevel="0" max="5" min="5" style="53" width="9.36"/>
    <col collapsed="false" customWidth="true" hidden="false" outlineLevel="0" max="6" min="6" style="53" width="5"/>
    <col collapsed="false" customWidth="true" hidden="false" outlineLevel="0" max="7" min="7" style="53" width="5.45"/>
    <col collapsed="false" customWidth="true" hidden="false" outlineLevel="0" max="8" min="8" style="53" width="7"/>
    <col collapsed="false" customWidth="false" hidden="false" outlineLevel="0" max="16384" min="9" style="53" width="9.36"/>
  </cols>
  <sheetData>
    <row r="1" customFormat="false" ht="15.75" hidden="false" customHeight="true" outlineLevel="0" collapsed="false">
      <c r="A1" s="15" t="s">
        <v>2094</v>
      </c>
      <c r="B1" s="15" t="s">
        <v>1193</v>
      </c>
      <c r="C1" s="15" t="s">
        <v>1190</v>
      </c>
      <c r="D1" s="15" t="s">
        <v>922</v>
      </c>
      <c r="E1" s="15" t="s">
        <v>386</v>
      </c>
      <c r="F1" s="15" t="s">
        <v>948</v>
      </c>
      <c r="G1" s="15" t="s">
        <v>490</v>
      </c>
      <c r="H1" s="15" t="s">
        <v>2095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9.36328125" defaultRowHeight="15" customHeight="true" zeroHeight="false" outlineLevelRow="0" outlineLevelCol="0"/>
  <cols>
    <col collapsed="false" customWidth="true" hidden="false" outlineLevel="0" max="1" min="1" style="92" width="7.63"/>
    <col collapsed="false" customWidth="true" hidden="false" outlineLevel="0" max="2" min="2" style="92" width="13.54"/>
    <col collapsed="false" customWidth="true" hidden="false" outlineLevel="0" max="3" min="3" style="92" width="5"/>
    <col collapsed="false" customWidth="true" hidden="false" outlineLevel="0" max="4" min="4" style="92" width="14.36"/>
    <col collapsed="false" customWidth="false" hidden="false" outlineLevel="0" max="16384" min="5" style="92" width="9.36"/>
  </cols>
  <sheetData>
    <row r="1" customFormat="false" ht="15.75" hidden="false" customHeight="true" outlineLevel="0" collapsed="false">
      <c r="A1" s="15" t="s">
        <v>644</v>
      </c>
      <c r="B1" s="15" t="s">
        <v>865</v>
      </c>
      <c r="C1" s="15" t="s">
        <v>948</v>
      </c>
      <c r="D1" s="15" t="s">
        <v>2096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9.36328125" defaultRowHeight="15" customHeight="true" zeroHeight="false" outlineLevelRow="0" outlineLevelCol="0"/>
  <cols>
    <col collapsed="false" customWidth="true" hidden="false" outlineLevel="0" max="1" min="1" style="35" width="52"/>
    <col collapsed="false" customWidth="true" hidden="false" outlineLevel="0" max="2" min="2" style="35" width="15.45"/>
    <col collapsed="false" customWidth="true" hidden="false" outlineLevel="0" max="3" min="3" style="35" width="7.63"/>
    <col collapsed="false" customWidth="true" hidden="false" outlineLevel="0" max="4" min="4" style="35" width="13.54"/>
    <col collapsed="false" customWidth="true" hidden="false" outlineLevel="0" max="5" min="5" style="35" width="5.45"/>
    <col collapsed="false" customWidth="true" hidden="false" outlineLevel="0" max="6" min="6" style="35" width="8.54"/>
    <col collapsed="false" customWidth="true" hidden="false" outlineLevel="0" max="7" min="7" style="35" width="12.63"/>
    <col collapsed="false" customWidth="false" hidden="false" outlineLevel="0" max="8" min="8" style="35" width="9.36"/>
    <col collapsed="false" customWidth="true" hidden="false" outlineLevel="0" max="9" min="9" style="35" width="13.54"/>
    <col collapsed="false" customWidth="true" hidden="false" outlineLevel="0" max="10" min="10" style="35" width="6.63"/>
    <col collapsed="false" customWidth="true" hidden="false" outlineLevel="0" max="11" min="11" style="35" width="7"/>
    <col collapsed="false" customWidth="true" hidden="false" outlineLevel="0" max="12" min="12" style="35" width="10"/>
    <col collapsed="false" customWidth="true" hidden="false" outlineLevel="0" max="13" min="13" style="35" width="52"/>
    <col collapsed="false" customWidth="true" hidden="false" outlineLevel="0" max="14" min="14" style="35" width="20.45"/>
    <col collapsed="false" customWidth="false" hidden="false" outlineLevel="0" max="16384" min="15" style="35" width="9.36"/>
  </cols>
  <sheetData>
    <row r="1" customFormat="false" ht="15" hidden="false" customHeight="true" outlineLevel="0" collapsed="false">
      <c r="A1" s="15" t="s">
        <v>948</v>
      </c>
      <c r="B1" s="15" t="s">
        <v>1692</v>
      </c>
      <c r="C1" s="15" t="s">
        <v>644</v>
      </c>
      <c r="D1" s="15" t="s">
        <v>865</v>
      </c>
      <c r="E1" s="15" t="s">
        <v>996</v>
      </c>
      <c r="F1" s="15" t="s">
        <v>532</v>
      </c>
      <c r="G1" s="15" t="s">
        <v>388</v>
      </c>
      <c r="H1" s="15" t="s">
        <v>386</v>
      </c>
      <c r="I1" s="15" t="s">
        <v>1122</v>
      </c>
      <c r="J1" s="15" t="s">
        <v>1119</v>
      </c>
      <c r="K1" s="15" t="s">
        <v>1007</v>
      </c>
      <c r="L1" s="15" t="s">
        <v>2097</v>
      </c>
      <c r="M1" s="15" t="s">
        <v>1937</v>
      </c>
    </row>
  </sheetData>
  <conditionalFormatting sqref="A4">
    <cfRule type="duplicateValues" priority="2" aboveAverage="0" equalAverage="0" bottom="0" percent="0" rank="0" text="" dxfId="222"/>
  </conditionalFormatting>
  <conditionalFormatting sqref="A3">
    <cfRule type="duplicateValues" priority="3" aboveAverage="0" equalAverage="0" bottom="0" percent="0" rank="0" text="" dxfId="223"/>
  </conditionalFormatting>
  <conditionalFormatting sqref="A6">
    <cfRule type="duplicateValues" priority="4" aboveAverage="0" equalAverage="0" bottom="0" percent="0" rank="0" text="" dxfId="224"/>
  </conditionalFormatting>
  <conditionalFormatting sqref="A7">
    <cfRule type="duplicateValues" priority="5" aboveAverage="0" equalAverage="0" bottom="0" percent="0" rank="0" text="" dxfId="225"/>
  </conditionalFormatting>
  <dataValidations count="1">
    <dataValidation allowBlank="true" errorStyle="stop" operator="between" showDropDown="false" showErrorMessage="true" showInputMessage="true" sqref="L2:L1001" type="list">
      <formula1>Enums!$S$34:$S$38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2" activeCellId="0" sqref="B22"/>
    </sheetView>
  </sheetViews>
  <sheetFormatPr defaultColWidth="9.36328125" defaultRowHeight="15" customHeight="true" zeroHeight="false" outlineLevelRow="0" outlineLevelCol="0"/>
  <cols>
    <col collapsed="false" customWidth="true" hidden="false" outlineLevel="0" max="1" min="1" style="53" width="34.54"/>
    <col collapsed="false" customWidth="true" hidden="false" outlineLevel="0" max="2" min="2" style="53" width="10.18"/>
    <col collapsed="false" customWidth="true" hidden="false" outlineLevel="0" max="3" min="3" style="53" width="15.36"/>
    <col collapsed="false" customWidth="true" hidden="false" outlineLevel="0" max="4" min="4" style="53" width="13.54"/>
    <col collapsed="false" customWidth="true" hidden="false" outlineLevel="0" max="5" min="5" style="53" width="5.45"/>
    <col collapsed="false" customWidth="true" hidden="false" outlineLevel="0" max="6" min="6" style="53" width="8.54"/>
    <col collapsed="false" customWidth="true" hidden="false" outlineLevel="0" max="7" min="7" style="53" width="12.63"/>
    <col collapsed="false" customWidth="true" hidden="false" outlineLevel="0" max="8" min="8" style="53" width="8.09"/>
    <col collapsed="false" customWidth="true" hidden="false" outlineLevel="0" max="9" min="9" style="53" width="5.45"/>
    <col collapsed="false" customWidth="true" hidden="false" outlineLevel="0" max="10" min="10" style="53" width="6.63"/>
    <col collapsed="false" customWidth="true" hidden="false" outlineLevel="0" max="11" min="11" style="53" width="10"/>
    <col collapsed="false" customWidth="true" hidden="false" outlineLevel="0" max="12" min="12" style="53" width="30.82"/>
    <col collapsed="false" customWidth="true" hidden="false" outlineLevel="0" max="13" min="13" style="53" width="21.54"/>
    <col collapsed="false" customWidth="true" hidden="false" outlineLevel="0" max="14" min="14" style="53" width="21.82"/>
    <col collapsed="false" customWidth="false" hidden="false" outlineLevel="0" max="16384" min="15" style="53" width="9.36"/>
  </cols>
  <sheetData>
    <row r="1" customFormat="false" ht="15" hidden="false" customHeight="true" outlineLevel="0" collapsed="false">
      <c r="A1" s="15" t="s">
        <v>948</v>
      </c>
      <c r="B1" s="15" t="s">
        <v>1692</v>
      </c>
      <c r="C1" s="15" t="s">
        <v>644</v>
      </c>
      <c r="D1" s="15" t="s">
        <v>865</v>
      </c>
      <c r="E1" s="15" t="s">
        <v>996</v>
      </c>
      <c r="F1" s="15" t="s">
        <v>532</v>
      </c>
      <c r="G1" s="15" t="s">
        <v>388</v>
      </c>
      <c r="H1" s="15" t="s">
        <v>386</v>
      </c>
      <c r="I1" s="15" t="s">
        <v>1122</v>
      </c>
      <c r="J1" s="15" t="s">
        <v>1119</v>
      </c>
      <c r="K1" s="15" t="s">
        <v>2097</v>
      </c>
      <c r="L1" s="15" t="s">
        <v>1839</v>
      </c>
      <c r="M1" s="15" t="s">
        <v>1869</v>
      </c>
      <c r="N1" s="15" t="s">
        <v>2098</v>
      </c>
    </row>
  </sheetData>
  <autoFilter ref="A1:R11"/>
  <conditionalFormatting sqref="L15">
    <cfRule type="duplicateValues" priority="2" aboveAverage="0" equalAverage="0" bottom="0" percent="0" rank="0" text="" dxfId="226"/>
  </conditionalFormatting>
  <conditionalFormatting sqref="A15">
    <cfRule type="duplicateValues" priority="3" aboveAverage="0" equalAverage="0" bottom="0" percent="0" rank="0" text="" dxfId="227"/>
  </conditionalFormatting>
  <conditionalFormatting sqref="A16">
    <cfRule type="duplicateValues" priority="4" aboveAverage="0" equalAverage="0" bottom="0" percent="0" rank="0" text="" dxfId="228"/>
    <cfRule type="duplicateValues" priority="5" aboveAverage="0" equalAverage="0" bottom="0" percent="0" rank="0" text="" dxfId="229"/>
  </conditionalFormatting>
  <conditionalFormatting sqref="A17 A2:A10">
    <cfRule type="duplicateValues" priority="6" aboveAverage="0" equalAverage="0" bottom="0" percent="0" rank="0" text="" dxfId="230"/>
  </conditionalFormatting>
  <conditionalFormatting sqref="R15 R13 R2:R11 R17">
    <cfRule type="duplicateValues" priority="7" aboveAverage="0" equalAverage="0" bottom="0" percent="0" rank="0" text="" dxfId="231"/>
  </conditionalFormatting>
  <dataValidations count="3">
    <dataValidation allowBlank="true" errorStyle="stop" operator="greaterThanOrEqual" showDropDown="false" showErrorMessage="true" showInputMessage="true" sqref="L15:M15" type="none">
      <formula1>0</formula1>
      <formula2>0</formula2>
    </dataValidation>
    <dataValidation allowBlank="true" errorStyle="stop" operator="between" showDropDown="false" showErrorMessage="true" showInputMessage="true" sqref="K15:K1001" type="list">
      <formula1>Enums!$S$34:$S$38</formula1>
      <formula2>0</formula2>
    </dataValidation>
    <dataValidation allowBlank="true" errorStyle="stop" operator="between" showDropDown="false" showErrorMessage="true" showInputMessage="true" sqref="N15:N1001" type="list">
      <formula1>Enums!$S$41:$S$43</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drawing r:id="rId2"/>
  <legacyDrawing r:id="rId3"/>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8.6328125" defaultRowHeight="15" customHeight="true" zeroHeight="false" outlineLevelRow="0" outlineLevelCol="0"/>
  <cols>
    <col collapsed="false" customWidth="true" hidden="false" outlineLevel="0" max="1" min="1" style="35" width="5"/>
    <col collapsed="false" customWidth="true" hidden="false" outlineLevel="0" max="2" min="2" style="35" width="15.45"/>
    <col collapsed="false" customWidth="true" hidden="false" outlineLevel="0" max="3" min="3" style="35" width="7.63"/>
    <col collapsed="false" customWidth="true" hidden="false" outlineLevel="0" max="4" min="4" style="35" width="13.54"/>
    <col collapsed="false" customWidth="true" hidden="false" outlineLevel="0" max="5" min="5" style="35" width="5.45"/>
    <col collapsed="false" customWidth="true" hidden="false" outlineLevel="0" max="6" min="6" style="35" width="8.54"/>
    <col collapsed="false" customWidth="true" hidden="false" outlineLevel="0" max="7" min="7" style="35" width="12.63"/>
    <col collapsed="false" customWidth="true" hidden="false" outlineLevel="0" max="8" min="8" style="35" width="10"/>
    <col collapsed="false" customWidth="true" hidden="false" outlineLevel="0" max="9" min="9" style="35" width="10.36"/>
    <col collapsed="false" customWidth="true" hidden="false" outlineLevel="0" max="10" min="10" style="35" width="15.63"/>
    <col collapsed="false" customWidth="false" hidden="false" outlineLevel="0" max="16384" min="11" style="35" width="8.63"/>
  </cols>
  <sheetData>
    <row r="1" customFormat="false" ht="15.75" hidden="false" customHeight="true" outlineLevel="0" collapsed="false">
      <c r="A1" s="15" t="s">
        <v>948</v>
      </c>
      <c r="B1" s="15" t="s">
        <v>1692</v>
      </c>
      <c r="C1" s="15" t="s">
        <v>644</v>
      </c>
      <c r="D1" s="15" t="s">
        <v>865</v>
      </c>
      <c r="E1" s="15" t="s">
        <v>996</v>
      </c>
      <c r="F1" s="15" t="s">
        <v>532</v>
      </c>
      <c r="G1" s="15" t="s">
        <v>388</v>
      </c>
      <c r="H1" s="15" t="s">
        <v>2097</v>
      </c>
      <c r="I1" s="15" t="s">
        <v>1309</v>
      </c>
      <c r="J1" s="15" t="s">
        <v>1301</v>
      </c>
    </row>
  </sheetData>
  <dataValidations count="1">
    <dataValidation allowBlank="true" errorStyle="stop" operator="between" showDropDown="false" showErrorMessage="true" showInputMessage="true" sqref="H2:H1001" type="list">
      <formula1>Enums!$S$34:$S$38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40" activeCellId="0" sqref="H40"/>
    </sheetView>
  </sheetViews>
  <sheetFormatPr defaultColWidth="8.6328125" defaultRowHeight="15" customHeight="true" zeroHeight="false" outlineLevelRow="0" outlineLevelCol="0"/>
  <cols>
    <col collapsed="false" customWidth="true" hidden="false" outlineLevel="0" max="1" min="1" style="35" width="24.45"/>
    <col collapsed="false" customWidth="true" hidden="false" outlineLevel="0" max="2" min="2" style="35" width="24.54"/>
    <col collapsed="false" customWidth="true" hidden="false" outlineLevel="0" max="3" min="3" style="35" width="13.63"/>
    <col collapsed="false" customWidth="true" hidden="false" outlineLevel="0" max="4" min="4" style="35" width="13.54"/>
    <col collapsed="false" customWidth="true" hidden="false" outlineLevel="0" max="5" min="5" style="35" width="5.45"/>
    <col collapsed="false" customWidth="true" hidden="false" outlineLevel="0" max="6" min="6" style="35" width="8.54"/>
    <col collapsed="false" customWidth="true" hidden="false" outlineLevel="0" max="7" min="7" style="35" width="12.63"/>
    <col collapsed="false" customWidth="true" hidden="false" outlineLevel="0" max="8" min="8" style="35" width="9.36"/>
    <col collapsed="false" customWidth="true" hidden="false" outlineLevel="0" max="9" min="9" style="35" width="13.54"/>
    <col collapsed="false" customWidth="true" hidden="false" outlineLevel="0" max="10" min="10" style="35" width="6.63"/>
    <col collapsed="false" customWidth="true" hidden="false" outlineLevel="0" max="11" min="11" style="35" width="7"/>
    <col collapsed="false" customWidth="true" hidden="false" outlineLevel="0" max="12" min="12" style="35" width="21.45"/>
    <col collapsed="false" customWidth="false" hidden="false" outlineLevel="0" max="16384" min="13" style="35" width="8.63"/>
  </cols>
  <sheetData>
    <row r="1" customFormat="false" ht="15.75" hidden="false" customHeight="true" outlineLevel="0" collapsed="false">
      <c r="A1" s="15" t="s">
        <v>948</v>
      </c>
      <c r="B1" s="15" t="s">
        <v>1692</v>
      </c>
      <c r="C1" s="15" t="s">
        <v>644</v>
      </c>
      <c r="D1" s="15" t="s">
        <v>865</v>
      </c>
      <c r="E1" s="15" t="s">
        <v>996</v>
      </c>
      <c r="F1" s="15" t="s">
        <v>532</v>
      </c>
      <c r="G1" s="15" t="s">
        <v>388</v>
      </c>
      <c r="H1" s="15" t="s">
        <v>386</v>
      </c>
      <c r="I1" s="15" t="s">
        <v>1122</v>
      </c>
      <c r="J1" s="15" t="s">
        <v>1119</v>
      </c>
      <c r="K1" s="15" t="s">
        <v>1007</v>
      </c>
      <c r="L1" s="15" t="s">
        <v>1923</v>
      </c>
    </row>
  </sheetData>
  <conditionalFormatting sqref="C4">
    <cfRule type="duplicateValues" priority="2" aboveAverage="0" equalAverage="0" bottom="0" percent="0" rank="0" text="" dxfId="232"/>
  </conditionalFormatting>
  <conditionalFormatting sqref="C3">
    <cfRule type="duplicateValues" priority="3" aboveAverage="0" equalAverage="0" bottom="0" percent="0" rank="0" text="" dxfId="233"/>
  </conditionalFormatting>
  <conditionalFormatting sqref="D21">
    <cfRule type="duplicateValues" priority="4" aboveAverage="0" equalAverage="0" bottom="0" percent="0" rank="0" text="" dxfId="234"/>
  </conditionalFormatting>
  <conditionalFormatting sqref="D22">
    <cfRule type="duplicateValues" priority="5" aboveAverage="0" equalAverage="0" bottom="0" percent="0" rank="0" text="" dxfId="235"/>
  </conditionalFormatting>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3" activeCellId="0" sqref="K33"/>
    </sheetView>
  </sheetViews>
  <sheetFormatPr defaultColWidth="8.6328125" defaultRowHeight="15" customHeight="true" zeroHeight="false" outlineLevelRow="0" outlineLevelCol="0"/>
  <cols>
    <col collapsed="false" customWidth="true" hidden="false" outlineLevel="0" max="1" min="1" style="35" width="5"/>
    <col collapsed="false" customWidth="true" hidden="false" outlineLevel="0" max="2" min="2" style="35" width="7.63"/>
    <col collapsed="false" customWidth="true" hidden="false" outlineLevel="0" max="3" min="3" style="35" width="13.54"/>
    <col collapsed="false" customWidth="true" hidden="false" outlineLevel="0" max="4" min="4" style="35" width="5.45"/>
    <col collapsed="false" customWidth="true" hidden="false" outlineLevel="0" max="5" min="5" style="35" width="8.54"/>
    <col collapsed="false" customWidth="true" hidden="false" outlineLevel="0" max="6" min="6" style="35" width="12.63"/>
    <col collapsed="false" customWidth="true" hidden="false" outlineLevel="0" max="7" min="7" style="35" width="18.54"/>
    <col collapsed="false" customWidth="false" hidden="false" outlineLevel="0" max="16384" min="8" style="35" width="8.63"/>
  </cols>
  <sheetData>
    <row r="1" customFormat="false" ht="15.75" hidden="false" customHeight="true" outlineLevel="0" collapsed="false">
      <c r="A1" s="15" t="s">
        <v>948</v>
      </c>
      <c r="B1" s="15" t="s">
        <v>644</v>
      </c>
      <c r="C1" s="15" t="s">
        <v>865</v>
      </c>
      <c r="D1" s="15" t="s">
        <v>996</v>
      </c>
      <c r="E1" s="15" t="s">
        <v>532</v>
      </c>
      <c r="F1" s="15" t="s">
        <v>388</v>
      </c>
      <c r="G1" s="15" t="s">
        <v>2087</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1.54296875" defaultRowHeight="15" customHeight="true" zeroHeight="false" outlineLevelRow="0" outlineLevelCol="0"/>
  <cols>
    <col collapsed="false" customWidth="true" hidden="false" outlineLevel="0" max="1" min="1" style="35" width="10.45"/>
    <col collapsed="false" customWidth="true" hidden="false" outlineLevel="0" max="2" min="2" style="35" width="14.63"/>
    <col collapsed="false" customWidth="true" hidden="false" outlineLevel="0" max="3" min="3" style="35" width="10"/>
    <col collapsed="false" customWidth="true" hidden="false" outlineLevel="0" max="4" min="4" style="35" width="21"/>
    <col collapsed="false" customWidth="true" hidden="false" outlineLevel="0" max="5" min="5" style="35" width="23.45"/>
    <col collapsed="false" customWidth="false" hidden="false" outlineLevel="0" max="16384" min="6" style="35" width="11.54"/>
  </cols>
  <sheetData>
    <row r="1" customFormat="false" ht="15.75" hidden="false" customHeight="true" outlineLevel="0" collapsed="false">
      <c r="A1" s="15" t="s">
        <v>584</v>
      </c>
      <c r="B1" s="15" t="s">
        <v>2088</v>
      </c>
      <c r="C1" s="15" t="s">
        <v>2097</v>
      </c>
      <c r="D1" s="15" t="s">
        <v>2099</v>
      </c>
      <c r="E1" s="15" t="s">
        <v>2100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6" activeCellId="0" sqref="P36"/>
    </sheetView>
  </sheetViews>
  <sheetFormatPr defaultColWidth="11.54296875" defaultRowHeight="15" customHeight="true" zeroHeight="false" outlineLevelRow="0" outlineLevelCol="0"/>
  <cols>
    <col collapsed="false" customWidth="true" hidden="false" outlineLevel="0" max="1" min="1" style="35" width="11.45"/>
    <col collapsed="false" customWidth="true" hidden="false" outlineLevel="0" max="2" min="2" style="35" width="10.45"/>
    <col collapsed="false" customWidth="true" hidden="false" outlineLevel="0" max="3" min="3" style="35" width="15.45"/>
    <col collapsed="false" customWidth="true" hidden="false" outlineLevel="0" max="4" min="4" style="35" width="5"/>
    <col collapsed="false" customWidth="true" hidden="false" outlineLevel="0" max="5" min="5" style="35" width="9.36"/>
    <col collapsed="false" customWidth="true" hidden="false" outlineLevel="0" max="6" min="6" style="35" width="13.54"/>
    <col collapsed="false" customWidth="true" hidden="false" outlineLevel="0" max="7" min="7" style="35" width="6.63"/>
    <col collapsed="false" customWidth="true" hidden="false" outlineLevel="0" max="8" min="8" style="35" width="12.54"/>
    <col collapsed="false" customWidth="false" hidden="false" outlineLevel="0" max="16384" min="9" style="35" width="11.54"/>
  </cols>
  <sheetData>
    <row r="1" customFormat="false" ht="15.75" hidden="false" customHeight="true" outlineLevel="0" collapsed="false">
      <c r="A1" s="15" t="s">
        <v>2101</v>
      </c>
      <c r="B1" s="15" t="s">
        <v>2102</v>
      </c>
      <c r="C1" s="15" t="s">
        <v>2103</v>
      </c>
      <c r="D1" s="15" t="s">
        <v>948</v>
      </c>
      <c r="E1" s="15" t="s">
        <v>386</v>
      </c>
      <c r="F1" s="15" t="s">
        <v>1122</v>
      </c>
      <c r="G1" s="15" t="s">
        <v>1119</v>
      </c>
      <c r="H1" s="15" t="s">
        <v>2104</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6" activeCellId="0" sqref="P36"/>
    </sheetView>
  </sheetViews>
  <sheetFormatPr defaultColWidth="9.36328125" defaultRowHeight="15" customHeight="true" zeroHeight="false" outlineLevelRow="0" outlineLevelCol="0"/>
  <cols>
    <col collapsed="false" customWidth="true" hidden="false" outlineLevel="0" max="1" min="1" style="92" width="7"/>
    <col collapsed="false" customWidth="true" hidden="false" outlineLevel="0" max="2" min="2" style="92" width="10.45"/>
    <col collapsed="false" customWidth="true" hidden="false" outlineLevel="0" max="3" min="3" style="92" width="5"/>
    <col collapsed="false" customWidth="true" hidden="false" outlineLevel="0" max="4" min="4" style="92" width="15.45"/>
    <col collapsed="false" customWidth="true" hidden="false" outlineLevel="0" max="5" min="5" style="92" width="7.63"/>
    <col collapsed="false" customWidth="true" hidden="false" outlineLevel="0" max="6" min="6" style="92" width="13.54"/>
    <col collapsed="false" customWidth="true" hidden="false" outlineLevel="0" max="7" min="7" style="92" width="5.45"/>
    <col collapsed="false" customWidth="true" hidden="false" outlineLevel="0" max="8" min="8" style="92" width="8.54"/>
    <col collapsed="false" customWidth="true" hidden="false" outlineLevel="0" max="9" min="9" style="92" width="12.63"/>
    <col collapsed="false" customWidth="false" hidden="false" outlineLevel="0" max="10" min="10" style="92" width="9.36"/>
    <col collapsed="false" customWidth="true" hidden="false" outlineLevel="0" max="11" min="11" style="92" width="13.54"/>
    <col collapsed="false" customWidth="true" hidden="false" outlineLevel="0" max="12" min="12" style="92" width="6.63"/>
    <col collapsed="false" customWidth="true" hidden="false" outlineLevel="0" max="13" min="13" style="92" width="6.36"/>
    <col collapsed="false" customWidth="false" hidden="false" outlineLevel="0" max="16384" min="14" style="92" width="9.36"/>
  </cols>
  <sheetData>
    <row r="1" s="53" customFormat="true" ht="15.75" hidden="false" customHeight="true" outlineLevel="0" collapsed="false">
      <c r="A1" s="15" t="s">
        <v>1007</v>
      </c>
      <c r="B1" s="15" t="s">
        <v>790</v>
      </c>
      <c r="C1" s="15" t="s">
        <v>948</v>
      </c>
      <c r="D1" s="15" t="s">
        <v>1692</v>
      </c>
      <c r="E1" s="15" t="s">
        <v>644</v>
      </c>
      <c r="F1" s="15" t="s">
        <v>865</v>
      </c>
      <c r="G1" s="15" t="s">
        <v>996</v>
      </c>
      <c r="H1" s="15" t="s">
        <v>532</v>
      </c>
      <c r="I1" s="15" t="s">
        <v>388</v>
      </c>
      <c r="J1" s="15" t="s">
        <v>386</v>
      </c>
      <c r="K1" s="15" t="s">
        <v>1122</v>
      </c>
      <c r="L1" s="15" t="s">
        <v>1119</v>
      </c>
      <c r="M1" s="15" t="s">
        <v>313</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6" activeCellId="0" sqref="P36"/>
    </sheetView>
  </sheetViews>
  <sheetFormatPr defaultColWidth="9.36328125" defaultRowHeight="15" customHeight="true" zeroHeight="false" outlineLevelRow="0" outlineLevelCol="0"/>
  <cols>
    <col collapsed="false" customWidth="false" hidden="false" outlineLevel="0" max="1" min="1" style="35" width="9.36"/>
    <col collapsed="false" customWidth="true" hidden="false" outlineLevel="0" max="2" min="2" style="35" width="13.54"/>
    <col collapsed="false" customWidth="true" hidden="false" outlineLevel="0" max="3" min="3" style="35" width="6.63"/>
    <col collapsed="false" customWidth="true" hidden="false" outlineLevel="0" max="4" min="4" style="35" width="5"/>
    <col collapsed="false" customWidth="true" hidden="false" outlineLevel="0" max="5" min="5" style="35" width="12.63"/>
    <col collapsed="false" customWidth="true" hidden="false" outlineLevel="0" max="6" min="6" style="35" width="8.45"/>
    <col collapsed="false" customWidth="false" hidden="false" outlineLevel="0" max="7" min="7" style="35" width="9.36"/>
    <col collapsed="false" customWidth="true" hidden="false" outlineLevel="0" max="8" min="8" style="35" width="31"/>
    <col collapsed="false" customWidth="true" hidden="false" outlineLevel="0" max="9" min="9" style="35" width="19.54"/>
    <col collapsed="false" customWidth="false" hidden="false" outlineLevel="0" max="16384" min="10" style="35" width="9.36"/>
  </cols>
  <sheetData>
    <row r="1" customFormat="false" ht="15" hidden="false" customHeight="true" outlineLevel="0" collapsed="false">
      <c r="A1" s="15" t="s">
        <v>386</v>
      </c>
      <c r="B1" s="15" t="s">
        <v>1122</v>
      </c>
      <c r="C1" s="15" t="s">
        <v>1119</v>
      </c>
      <c r="D1" s="15" t="s">
        <v>948</v>
      </c>
      <c r="E1" s="15" t="s">
        <v>1628</v>
      </c>
      <c r="F1" s="15" t="s">
        <v>2105</v>
      </c>
    </row>
  </sheetData>
  <dataValidations count="2">
    <dataValidation allowBlank="true" error="Numbers Only. &gt;0" errorStyle="stop" operator="greaterThan" showDropDown="false" showErrorMessage="true" showInputMessage="true" sqref="F2:F1001" type="decimal">
      <formula1>0</formula1>
      <formula2>0</formula2>
    </dataValidation>
    <dataValidation allowBlank="true" errorStyle="stop" operator="greaterThan" showDropDown="false" showErrorMessage="true" showInputMessage="true" sqref="F1" type="none">
      <formula1>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6" activeCellId="0" sqref="P36"/>
    </sheetView>
  </sheetViews>
  <sheetFormatPr defaultColWidth="9.36328125" defaultRowHeight="15" customHeight="true" zeroHeight="false" outlineLevelRow="0" outlineLevelCol="0"/>
  <cols>
    <col collapsed="false" customWidth="true" hidden="false" outlineLevel="0" max="2" min="2" style="35" width="13.54"/>
    <col collapsed="false" customWidth="true" hidden="false" outlineLevel="0" max="3" min="3" style="35" width="6.63"/>
    <col collapsed="false" customWidth="true" hidden="false" outlineLevel="0" max="4" min="4" style="35" width="14.54"/>
    <col collapsed="false" customWidth="true" hidden="false" outlineLevel="0" max="5" min="5" style="35" width="12.54"/>
    <col collapsed="false" customWidth="true" hidden="false" outlineLevel="0" max="6" min="6" style="35" width="5.63"/>
    <col collapsed="false" customWidth="true" hidden="false" outlineLevel="0" max="8" min="7" style="35" width="9.63"/>
    <col collapsed="false" customWidth="false" hidden="false" outlineLevel="0" max="16384" min="9" style="35" width="9.36"/>
  </cols>
  <sheetData>
    <row r="1" s="53" customFormat="true" ht="15" hidden="false" customHeight="true" outlineLevel="0" collapsed="false">
      <c r="A1" s="15" t="s">
        <v>386</v>
      </c>
      <c r="B1" s="15" t="s">
        <v>1122</v>
      </c>
      <c r="C1" s="15" t="s">
        <v>1119</v>
      </c>
      <c r="D1" s="15" t="s">
        <v>2106</v>
      </c>
      <c r="E1" s="15" t="s">
        <v>2046</v>
      </c>
      <c r="F1" s="15" t="s">
        <v>657</v>
      </c>
    </row>
  </sheetData>
  <dataValidations count="1">
    <dataValidation allowBlank="true" errorStyle="stop" operator="between" showDropDown="false" showErrorMessage="true" showInputMessage="true" sqref="E2:E21 E22:F1001" type="list">
      <formula1>Enums!$S$46:$S$50</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9.36328125" defaultRowHeight="15" customHeight="true" zeroHeight="false" outlineLevelRow="0" outlineLevelCol="0"/>
  <cols>
    <col collapsed="false" customWidth="false" hidden="false" outlineLevel="0" max="1" min="1" style="35" width="9.36"/>
    <col collapsed="false" customWidth="true" hidden="false" outlineLevel="0" max="2" min="2" style="35" width="13.54"/>
    <col collapsed="false" customWidth="true" hidden="false" outlineLevel="0" max="3" min="3" style="35" width="6.63"/>
    <col collapsed="false" customWidth="true" hidden="false" outlineLevel="0" max="4" min="4" style="35" width="14.54"/>
    <col collapsed="false" customWidth="true" hidden="false" outlineLevel="0" max="5" min="5" style="35" width="9"/>
    <col collapsed="false" customWidth="true" hidden="false" outlineLevel="0" max="6" min="6" style="35" width="22.45"/>
    <col collapsed="false" customWidth="false" hidden="false" outlineLevel="0" max="16384" min="7" style="35" width="9.36"/>
  </cols>
  <sheetData>
    <row r="1" s="53" customFormat="true" ht="15" hidden="false" customHeight="true" outlineLevel="0" collapsed="false">
      <c r="A1" s="15" t="s">
        <v>386</v>
      </c>
      <c r="B1" s="15" t="s">
        <v>1122</v>
      </c>
      <c r="C1" s="15" t="s">
        <v>1119</v>
      </c>
      <c r="D1" s="15" t="s">
        <v>2106</v>
      </c>
      <c r="E1" s="15" t="s">
        <v>1937</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D10" activeCellId="0" sqref="D10"/>
    </sheetView>
  </sheetViews>
  <sheetFormatPr defaultColWidth="9.36328125" defaultRowHeight="15" customHeight="true" zeroHeight="false" outlineLevelRow="0" outlineLevelCol="0"/>
  <cols>
    <col collapsed="false" customWidth="true" hidden="false" outlineLevel="0" max="1" min="1" style="35" width="13.54"/>
    <col collapsed="false" customWidth="false" hidden="false" outlineLevel="0" max="2" min="2" style="35" width="9.36"/>
    <col collapsed="false" customWidth="true" hidden="false" outlineLevel="0" max="3" min="3" style="35" width="6.63"/>
    <col collapsed="false" customWidth="true" hidden="false" outlineLevel="0" max="4" min="4" style="35" width="18.45"/>
    <col collapsed="false" customWidth="true" hidden="false" outlineLevel="0" max="5" min="5" style="35" width="14.36"/>
    <col collapsed="false" customWidth="true" hidden="false" outlineLevel="0" max="6" min="6" style="35" width="21.54"/>
    <col collapsed="false" customWidth="true" hidden="false" outlineLevel="0" max="7" min="7" style="35" width="24"/>
    <col collapsed="false" customWidth="true" hidden="false" outlineLevel="0" max="8" min="8" style="35" width="22.45"/>
    <col collapsed="false" customWidth="false" hidden="false" outlineLevel="0" max="16384" min="9" style="35" width="9.36"/>
  </cols>
  <sheetData>
    <row r="1" s="53" customFormat="true" ht="15" hidden="false" customHeight="true" outlineLevel="0" collapsed="false">
      <c r="A1" s="15" t="s">
        <v>1122</v>
      </c>
      <c r="B1" s="15" t="s">
        <v>386</v>
      </c>
      <c r="C1" s="15" t="s">
        <v>1119</v>
      </c>
      <c r="D1" s="15" t="s">
        <v>2106</v>
      </c>
      <c r="E1" s="15" t="s">
        <v>1839</v>
      </c>
      <c r="F1" s="15" t="s">
        <v>1869</v>
      </c>
    </row>
  </sheetData>
  <conditionalFormatting sqref="B5">
    <cfRule type="duplicateValues" priority="2" aboveAverage="0" equalAverage="0" bottom="0" percent="0" rank="0" text="" dxfId="236"/>
  </conditionalFormatting>
  <conditionalFormatting sqref="B2">
    <cfRule type="duplicateValues" priority="3" aboveAverage="0" equalAverage="0" bottom="0" percent="0" rank="0" text="" dxfId="237"/>
  </conditionalFormatting>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P36" activeCellId="0" sqref="P36"/>
    </sheetView>
  </sheetViews>
  <sheetFormatPr defaultColWidth="9.00390625" defaultRowHeight="15" customHeight="true" zeroHeight="false" outlineLevelRow="0" outlineLevelCol="0"/>
  <cols>
    <col collapsed="false" customWidth="true" hidden="false" outlineLevel="0" max="1" min="1" style="1" width="9.36"/>
    <col collapsed="false" customWidth="true" hidden="false" outlineLevel="0" max="2" min="2" style="1" width="13.54"/>
    <col collapsed="false" customWidth="true" hidden="false" outlineLevel="0" max="3" min="3" style="1" width="6.63"/>
    <col collapsed="false" customWidth="true" hidden="false" outlineLevel="0" max="4" min="4" style="1" width="14.54"/>
    <col collapsed="false" customWidth="true" hidden="false" outlineLevel="0" max="5" min="5" style="1" width="10.36"/>
    <col collapsed="false" customWidth="true" hidden="false" outlineLevel="0" max="6" min="6" style="1" width="15.63"/>
    <col collapsed="false" customWidth="false" hidden="false" outlineLevel="0" max="16384" min="7" style="1" width="9"/>
  </cols>
  <sheetData>
    <row r="1" s="92" customFormat="true" ht="15.75" hidden="false" customHeight="true" outlineLevel="0" collapsed="false">
      <c r="A1" s="15" t="s">
        <v>386</v>
      </c>
      <c r="B1" s="15" t="s">
        <v>1122</v>
      </c>
      <c r="C1" s="15" t="s">
        <v>1119</v>
      </c>
      <c r="D1" s="15" t="s">
        <v>2106</v>
      </c>
      <c r="E1" s="15" t="s">
        <v>1309</v>
      </c>
      <c r="F1" s="15" t="s">
        <v>1301</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G39" activeCellId="0" sqref="G39"/>
    </sheetView>
  </sheetViews>
  <sheetFormatPr defaultColWidth="9.36328125" defaultRowHeight="15" customHeight="true" zeroHeight="false" outlineLevelRow="0" outlineLevelCol="0"/>
  <cols>
    <col collapsed="false" customWidth="false" hidden="false" outlineLevel="0" max="1" min="1" style="35" width="9.36"/>
    <col collapsed="false" customWidth="true" hidden="false" outlineLevel="0" max="2" min="2" style="35" width="13.54"/>
    <col collapsed="false" customWidth="true" hidden="false" outlineLevel="0" max="3" min="3" style="35" width="6.63"/>
    <col collapsed="false" customWidth="true" hidden="false" outlineLevel="0" max="4" min="4" style="35" width="5"/>
    <col collapsed="false" customWidth="true" hidden="false" outlineLevel="0" max="5" min="5" style="35" width="7.63"/>
    <col collapsed="false" customWidth="true" hidden="false" outlineLevel="0" max="6" min="6" style="35" width="13.54"/>
    <col collapsed="false" customWidth="true" hidden="false" outlineLevel="0" max="7" min="7" style="35" width="10"/>
    <col collapsed="false" customWidth="true" hidden="false" outlineLevel="0" max="8" min="8" style="35" width="12.45"/>
    <col collapsed="false" customWidth="true" hidden="false" outlineLevel="0" max="9" min="9" style="35" width="11.54"/>
    <col collapsed="false" customWidth="false" hidden="false" outlineLevel="0" max="10" min="10" style="35" width="9.36"/>
    <col collapsed="false" customWidth="true" hidden="false" outlineLevel="0" max="11" min="11" style="35" width="31"/>
    <col collapsed="false" customWidth="true" hidden="false" outlineLevel="0" max="12" min="12" style="35" width="19.54"/>
    <col collapsed="false" customWidth="false" hidden="false" outlineLevel="0" max="16384" min="13" style="35" width="9.36"/>
  </cols>
  <sheetData>
    <row r="1" customFormat="false" ht="15" hidden="false" customHeight="true" outlineLevel="0" collapsed="false">
      <c r="A1" s="15" t="s">
        <v>386</v>
      </c>
      <c r="B1" s="15" t="s">
        <v>1122</v>
      </c>
      <c r="C1" s="15" t="s">
        <v>1119</v>
      </c>
      <c r="D1" s="15" t="s">
        <v>948</v>
      </c>
      <c r="E1" s="15" t="s">
        <v>644</v>
      </c>
      <c r="F1" s="15" t="s">
        <v>865</v>
      </c>
      <c r="G1" s="15" t="s">
        <v>365</v>
      </c>
      <c r="H1" s="15" t="s">
        <v>2107</v>
      </c>
      <c r="I1" s="15" t="s">
        <v>1840</v>
      </c>
    </row>
  </sheetData>
  <dataValidations count="4">
    <dataValidation allowBlank="true" error="Numbers Only" errorStyle="stop" operator="greaterThanOrEqual" showDropDown="false" showErrorMessage="true" showInputMessage="true" sqref="H2:H1001" type="decimal">
      <formula1>0</formula1>
      <formula2>0</formula2>
    </dataValidation>
    <dataValidation allowBlank="true" errorStyle="stop" operator="greaterThanOrEqual" showDropDown="false" showErrorMessage="true" showInputMessage="true" sqref="H1" type="none">
      <formula1>0</formula1>
      <formula2>0</formula2>
    </dataValidation>
    <dataValidation allowBlank="true" errorStyle="stop" operator="between" showDropDown="false" showErrorMessage="true" showInputMessage="true" sqref="I2:I1001" type="list">
      <formula1>Enums!$A$34:$A$35</formula1>
      <formula2>0</formula2>
    </dataValidation>
    <dataValidation allowBlank="true" errorStyle="stop" operator="between" showDropDown="false" showErrorMessage="true" showInputMessage="true" sqref="G2:G1001" type="list">
      <formula1>Enums!$K$72:$K$75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G39" activeCellId="0" sqref="G39"/>
    </sheetView>
  </sheetViews>
  <sheetFormatPr defaultColWidth="11.54296875" defaultRowHeight="15" customHeight="true" zeroHeight="false" outlineLevelRow="0" outlineLevelCol="0"/>
  <cols>
    <col collapsed="false" customWidth="true" hidden="false" outlineLevel="0" max="1" min="1" style="35" width="9.36"/>
    <col collapsed="false" customWidth="true" hidden="false" outlineLevel="0" max="2" min="2" style="35" width="13.54"/>
    <col collapsed="false" customWidth="true" hidden="false" outlineLevel="0" max="3" min="3" style="35" width="6.63"/>
    <col collapsed="false" customWidth="true" hidden="false" outlineLevel="0" max="4" min="4" style="35" width="5"/>
    <col collapsed="false" customWidth="true" hidden="false" outlineLevel="0" max="5" min="5" style="35" width="7.63"/>
    <col collapsed="false" customWidth="true" hidden="false" outlineLevel="0" max="6" min="6" style="35" width="13.54"/>
    <col collapsed="false" customWidth="true" hidden="false" outlineLevel="0" max="7" min="7" style="35" width="7.45"/>
    <col collapsed="false" customWidth="true" hidden="false" outlineLevel="0" max="8" min="8" style="35" width="14.63"/>
    <col collapsed="false" customWidth="true" hidden="false" outlineLevel="0" max="9" min="9" style="35" width="15.36"/>
    <col collapsed="false" customWidth="true" hidden="false" outlineLevel="0" max="10" min="10" style="35" width="17.63"/>
    <col collapsed="false" customWidth="false" hidden="false" outlineLevel="0" max="16384" min="11" style="35" width="11.54"/>
  </cols>
  <sheetData>
    <row r="1" customFormat="false" ht="15" hidden="false" customHeight="true" outlineLevel="0" collapsed="false">
      <c r="A1" s="15" t="s">
        <v>386</v>
      </c>
      <c r="B1" s="15" t="s">
        <v>1122</v>
      </c>
      <c r="C1" s="15" t="s">
        <v>1119</v>
      </c>
      <c r="D1" s="15" t="s">
        <v>948</v>
      </c>
      <c r="E1" s="15" t="s">
        <v>644</v>
      </c>
      <c r="F1" s="15" t="s">
        <v>865</v>
      </c>
      <c r="G1" s="15" t="s">
        <v>1014</v>
      </c>
      <c r="H1" s="15" t="s">
        <v>2108</v>
      </c>
      <c r="I1" s="15" t="s">
        <v>2109</v>
      </c>
      <c r="J1" s="15" t="s">
        <v>2110</v>
      </c>
    </row>
  </sheetData>
  <dataValidations count="4">
    <dataValidation allowBlank="true" error="Numbers Only" errorStyle="stop" operator="greaterThanOrEqual" showDropDown="false" showErrorMessage="true" showInputMessage="true" sqref="I2:J1001" type="decimal">
      <formula1>0</formula1>
      <formula2>0</formula2>
    </dataValidation>
    <dataValidation allowBlank="true" errorStyle="stop" operator="greaterThanOrEqual" showDropDown="false" showErrorMessage="true" showInputMessage="true" sqref="I1:J1" type="none">
      <formula1>0</formula1>
      <formula2>0</formula2>
    </dataValidation>
    <dataValidation allowBlank="true" error="Decimal Number between 0 and 1" errorStyle="stop" operator="between" showDropDown="false" showErrorMessage="true" showInputMessage="true" sqref="G2:G1001" type="decimal">
      <formula1>0</formula1>
      <formula2>1</formula2>
    </dataValidation>
    <dataValidation allowBlank="true" errorStyle="stop" operator="between" showDropDown="false" showErrorMessage="true" showInputMessage="true" sqref="H2:H1001" type="list">
      <formula1>Enums!$K$72:$K$75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G39" activeCellId="0" sqref="G39"/>
    </sheetView>
  </sheetViews>
  <sheetFormatPr defaultColWidth="8.6796875" defaultRowHeight="14.25" customHeight="false" zeroHeight="false" outlineLevelRow="0" outlineLevelCol="0"/>
  <cols>
    <col collapsed="false" customWidth="true" hidden="false" outlineLevel="0" max="1" min="1" style="0" width="5.36"/>
    <col collapsed="false" customWidth="true" hidden="false" outlineLevel="0" max="2" min="2" style="0" width="9.36"/>
    <col collapsed="false" customWidth="true" hidden="false" outlineLevel="0" max="3" min="3" style="0" width="13.54"/>
    <col collapsed="false" customWidth="true" hidden="false" outlineLevel="0" max="4" min="4" style="0" width="6.63"/>
    <col collapsed="false" customWidth="true" hidden="false" outlineLevel="0" max="5" min="5" style="0" width="7.63"/>
    <col collapsed="false" customWidth="true" hidden="false" outlineLevel="0" max="6" min="6" style="0" width="13.54"/>
    <col collapsed="false" customWidth="true" hidden="false" outlineLevel="0" max="7" min="7" style="0" width="15.45"/>
    <col collapsed="false" customWidth="true" hidden="false" outlineLevel="0" max="8" min="8" style="0" width="13.54"/>
    <col collapsed="false" customWidth="true" hidden="false" outlineLevel="0" max="9" min="9" style="0" width="12.63"/>
    <col collapsed="false" customWidth="true" hidden="false" outlineLevel="0" max="10" min="10" style="0" width="16"/>
    <col collapsed="false" customWidth="true" hidden="false" outlineLevel="0" max="11" min="11" style="0" width="5.54"/>
  </cols>
  <sheetData>
    <row r="1" customFormat="false" ht="14.25" hidden="false" customHeight="false" outlineLevel="0" collapsed="false">
      <c r="A1" s="15" t="s">
        <v>490</v>
      </c>
      <c r="B1" s="15" t="s">
        <v>386</v>
      </c>
      <c r="C1" s="15" t="s">
        <v>1122</v>
      </c>
      <c r="D1" s="15" t="s">
        <v>1119</v>
      </c>
      <c r="E1" s="15" t="s">
        <v>644</v>
      </c>
      <c r="F1" s="15" t="s">
        <v>865</v>
      </c>
      <c r="G1" s="15" t="s">
        <v>1707</v>
      </c>
      <c r="H1" s="34" t="s">
        <v>818</v>
      </c>
      <c r="I1" s="15" t="s">
        <v>1705</v>
      </c>
      <c r="J1" s="15" t="s">
        <v>1706</v>
      </c>
      <c r="K1" s="15" t="s">
        <v>979</v>
      </c>
    </row>
  </sheetData>
  <dataValidations count="3">
    <dataValidation allowBlank="true" errorStyle="stop" operator="greaterThanOrEqual" showDropDown="false" showErrorMessage="true" showInputMessage="true" sqref="I1:K1" type="none">
      <formula1>0</formula1>
      <formula2>0</formula2>
    </dataValidation>
    <dataValidation allowBlank="true" error="Decimal Number between 0 and 1" errorStyle="stop" operator="between" showDropDown="false" showErrorMessage="true" showInputMessage="true" sqref="G1:G1001" type="none">
      <formula1>0</formula1>
      <formula2>0</formula2>
    </dataValidation>
    <dataValidation allowBlank="true" errorStyle="stop" operator="between" showDropDown="false" showErrorMessage="true" showInputMessage="true" sqref="H2:H1001" type="list">
      <formula1>Enums!$AE$86:$AE$87</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G39" activeCellId="0" sqref="G39"/>
    </sheetView>
  </sheetViews>
  <sheetFormatPr defaultColWidth="10.453125" defaultRowHeight="15" customHeight="true" zeroHeight="false" outlineLevelRow="0" outlineLevelCol="0"/>
  <cols>
    <col collapsed="false" customWidth="true" hidden="false" outlineLevel="0" max="1" min="1" style="92" width="5"/>
    <col collapsed="false" customWidth="true" hidden="false" outlineLevel="0" max="2" min="2" style="92" width="7.63"/>
    <col collapsed="false" customWidth="true" hidden="false" outlineLevel="0" max="3" min="3" style="92" width="13.54"/>
    <col collapsed="false" customWidth="true" hidden="false" outlineLevel="0" max="4" min="4" style="92" width="19.54"/>
    <col collapsed="false" customWidth="false" hidden="false" outlineLevel="0" max="16384" min="5" style="92" width="10.45"/>
  </cols>
  <sheetData>
    <row r="1" customFormat="false" ht="15.75" hidden="false" customHeight="true" outlineLevel="0" collapsed="false">
      <c r="A1" s="15" t="s">
        <v>948</v>
      </c>
      <c r="B1" s="15" t="s">
        <v>644</v>
      </c>
      <c r="C1" s="15" t="s">
        <v>865</v>
      </c>
      <c r="D1" s="15" t="s">
        <v>2111</v>
      </c>
      <c r="E1" s="53"/>
      <c r="F1" s="53"/>
      <c r="G1" s="53"/>
      <c r="H1" s="53"/>
      <c r="I1" s="53"/>
      <c r="J1" s="53"/>
      <c r="K1" s="53"/>
      <c r="L1" s="53"/>
      <c r="M1" s="53"/>
      <c r="N1" s="53"/>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G39" activeCellId="0" sqref="G39"/>
    </sheetView>
  </sheetViews>
  <sheetFormatPr defaultColWidth="10.453125" defaultRowHeight="15" customHeight="true" zeroHeight="false" outlineLevelRow="0" outlineLevelCol="0"/>
  <cols>
    <col collapsed="false" customWidth="true" hidden="false" outlineLevel="0" max="1" min="1" style="92" width="5"/>
    <col collapsed="false" customWidth="true" hidden="false" outlineLevel="0" max="2" min="2" style="92" width="7.63"/>
    <col collapsed="false" customWidth="true" hidden="false" outlineLevel="0" max="3" min="3" style="92" width="13.54"/>
    <col collapsed="false" customWidth="true" hidden="false" outlineLevel="0" max="4" min="4" style="92" width="12"/>
    <col collapsed="false" customWidth="false" hidden="false" outlineLevel="0" max="16384" min="5" style="92" width="10.45"/>
  </cols>
  <sheetData>
    <row r="1" customFormat="false" ht="15.75" hidden="false" customHeight="true" outlineLevel="0" collapsed="false">
      <c r="A1" s="15" t="s">
        <v>948</v>
      </c>
      <c r="B1" s="15" t="s">
        <v>644</v>
      </c>
      <c r="C1" s="15" t="s">
        <v>865</v>
      </c>
      <c r="D1" s="15" t="s">
        <v>1329</v>
      </c>
      <c r="E1" s="53"/>
      <c r="F1" s="53"/>
      <c r="G1" s="53"/>
      <c r="H1" s="53"/>
      <c r="I1" s="53"/>
      <c r="J1" s="53"/>
      <c r="K1" s="53"/>
      <c r="L1" s="53"/>
      <c r="M1" s="53"/>
      <c r="N1" s="53"/>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G39" activeCellId="0" sqref="G39"/>
    </sheetView>
  </sheetViews>
  <sheetFormatPr defaultColWidth="9.36328125" defaultRowHeight="15" customHeight="true" zeroHeight="false" outlineLevelRow="0" outlineLevelCol="0"/>
  <cols>
    <col collapsed="false" customWidth="true" hidden="false" outlineLevel="0" max="1" min="1" style="92" width="5"/>
    <col collapsed="false" customWidth="true" hidden="false" outlineLevel="0" max="2" min="2" style="92" width="15.45"/>
    <col collapsed="false" customWidth="true" hidden="false" outlineLevel="0" max="3" min="3" style="92" width="7.63"/>
    <col collapsed="false" customWidth="true" hidden="false" outlineLevel="0" max="4" min="4" style="92" width="13.54"/>
    <col collapsed="false" customWidth="true" hidden="false" outlineLevel="0" max="5" min="5" style="92" width="5.45"/>
    <col collapsed="false" customWidth="true" hidden="false" outlineLevel="0" max="6" min="6" style="92" width="12.63"/>
    <col collapsed="false" customWidth="false" hidden="false" outlineLevel="0" max="7" min="7" style="92" width="9.36"/>
    <col collapsed="false" customWidth="true" hidden="false" outlineLevel="0" max="8" min="8" style="92" width="13.54"/>
    <col collapsed="false" customWidth="true" hidden="false" outlineLevel="0" max="9" min="9" style="92" width="6.63"/>
    <col collapsed="false" customWidth="true" hidden="false" outlineLevel="0" max="10" min="10" style="92" width="10"/>
    <col collapsed="false" customWidth="true" hidden="false" outlineLevel="0" max="11" min="11" style="0" width="5.63"/>
    <col collapsed="false" customWidth="true" hidden="false" outlineLevel="0" max="12" min="12" style="92" width="12.54"/>
    <col collapsed="false" customWidth="true" hidden="false" outlineLevel="0" max="13" min="13" style="92" width="19.54"/>
    <col collapsed="false" customWidth="false" hidden="false" outlineLevel="0" max="16384" min="14" style="92" width="9.36"/>
  </cols>
  <sheetData>
    <row r="1" s="53" customFormat="true" ht="15.75" hidden="false" customHeight="true" outlineLevel="0" collapsed="false">
      <c r="A1" s="15" t="s">
        <v>948</v>
      </c>
      <c r="B1" s="15" t="s">
        <v>1692</v>
      </c>
      <c r="C1" s="15" t="s">
        <v>644</v>
      </c>
      <c r="D1" s="15" t="s">
        <v>865</v>
      </c>
      <c r="E1" s="15" t="s">
        <v>996</v>
      </c>
      <c r="F1" s="15" t="s">
        <v>388</v>
      </c>
      <c r="G1" s="15" t="s">
        <v>386</v>
      </c>
      <c r="H1" s="15" t="s">
        <v>1122</v>
      </c>
      <c r="I1" s="15" t="s">
        <v>1119</v>
      </c>
      <c r="J1" s="15" t="s">
        <v>2097</v>
      </c>
      <c r="K1" s="15" t="s">
        <v>657</v>
      </c>
      <c r="L1" s="15" t="s">
        <v>2046</v>
      </c>
    </row>
  </sheetData>
  <dataValidations count="2">
    <dataValidation allowBlank="true" errorStyle="stop" operator="between" showDropDown="false" showErrorMessage="true" showInputMessage="true" sqref="L2:L1001" type="list">
      <formula1>Enums!$S$46:$S$50</formula1>
      <formula2>0</formula2>
    </dataValidation>
    <dataValidation allowBlank="true" errorStyle="stop" operator="between" showDropDown="false" showErrorMessage="true" showInputMessage="true" sqref="J2:J1001" type="list">
      <formula1>Enums!$S$34:$S$39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G39" activeCellId="0" sqref="G39"/>
    </sheetView>
  </sheetViews>
  <sheetFormatPr defaultColWidth="9.36328125" defaultRowHeight="15" customHeight="true" zeroHeight="false" outlineLevelRow="0" outlineLevelCol="0"/>
  <cols>
    <col collapsed="false" customWidth="true" hidden="false" outlineLevel="0" max="1" min="1" style="53" width="5"/>
    <col collapsed="false" customWidth="true" hidden="false" outlineLevel="0" max="2" min="2" style="53" width="7.63"/>
    <col collapsed="false" customWidth="true" hidden="false" outlineLevel="0" max="3" min="3" style="53" width="13.54"/>
    <col collapsed="false" customWidth="true" hidden="false" outlineLevel="0" max="4" min="4" style="53" width="5.45"/>
    <col collapsed="false" customWidth="false" hidden="false" outlineLevel="0" max="5" min="5" style="53" width="9.36"/>
    <col collapsed="false" customWidth="true" hidden="false" outlineLevel="0" max="6" min="6" style="53" width="13.54"/>
    <col collapsed="false" customWidth="true" hidden="false" outlineLevel="0" max="7" min="7" style="53" width="6.63"/>
    <col collapsed="false" customWidth="true" hidden="false" outlineLevel="0" max="8" min="8" style="53" width="9"/>
    <col collapsed="false" customWidth="true" hidden="false" outlineLevel="0" max="9" min="9" style="53" width="19.45"/>
    <col collapsed="false" customWidth="true" hidden="false" outlineLevel="0" max="10" min="10" style="53" width="18.63"/>
    <col collapsed="false" customWidth="false" hidden="false" outlineLevel="0" max="16384" min="11" style="53" width="9.36"/>
  </cols>
  <sheetData>
    <row r="1" customFormat="false" ht="15.75" hidden="false" customHeight="true" outlineLevel="0" collapsed="false">
      <c r="A1" s="15" t="s">
        <v>948</v>
      </c>
      <c r="B1" s="15" t="s">
        <v>644</v>
      </c>
      <c r="C1" s="15" t="s">
        <v>865</v>
      </c>
      <c r="D1" s="15" t="s">
        <v>996</v>
      </c>
      <c r="E1" s="15" t="s">
        <v>386</v>
      </c>
      <c r="F1" s="15" t="s">
        <v>1122</v>
      </c>
      <c r="G1" s="15" t="s">
        <v>1119</v>
      </c>
      <c r="H1" s="15" t="s">
        <v>2112</v>
      </c>
      <c r="I1" s="15" t="s">
        <v>2113</v>
      </c>
      <c r="J1" s="15" t="s">
        <v>2114</v>
      </c>
    </row>
  </sheetData>
  <dataValidations count="2">
    <dataValidation allowBlank="true" errorStyle="stop" operator="between" showDropDown="false" showErrorMessage="true" showInputMessage="true" sqref="I2:I1001" type="list">
      <formula1>Enums!$S$53:$S$56</formula1>
      <formula2>0</formula2>
    </dataValidation>
    <dataValidation allowBlank="true" errorStyle="stop" operator="between" showDropDown="false" showErrorMessage="true" showInputMessage="true" sqref="J2:J1001" type="list">
      <formula1>Enums!$S$59:$S$61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3" activePane="bottomLeft" state="frozen"/>
      <selection pane="topLeft" activeCell="A1" activeCellId="0" sqref="A1"/>
      <selection pane="bottomLeft" activeCell="K36" activeCellId="0" sqref="K36"/>
    </sheetView>
  </sheetViews>
  <sheetFormatPr defaultColWidth="9.36328125" defaultRowHeight="15" customHeight="true" zeroHeight="false" outlineLevelRow="0" outlineLevelCol="0"/>
  <cols>
    <col collapsed="false" customWidth="true" hidden="false" outlineLevel="0" max="1" min="1" style="53" width="5"/>
    <col collapsed="false" customWidth="true" hidden="false" outlineLevel="0" max="2" min="2" style="53" width="7.63"/>
    <col collapsed="false" customWidth="true" hidden="false" outlineLevel="0" max="3" min="3" style="53" width="13.54"/>
    <col collapsed="false" customWidth="true" hidden="false" outlineLevel="0" max="4" min="4" style="53" width="5.45"/>
    <col collapsed="false" customWidth="true" hidden="false" outlineLevel="0" max="5" min="5" style="53" width="5.54"/>
    <col collapsed="false" customWidth="true" hidden="false" outlineLevel="0" max="6" min="6" style="53" width="14.63"/>
    <col collapsed="false" customWidth="true" hidden="false" outlineLevel="0" max="7" min="7" style="53" width="15.36"/>
    <col collapsed="false" customWidth="true" hidden="false" outlineLevel="0" max="8" min="8" style="53" width="17.63"/>
    <col collapsed="false" customWidth="false" hidden="false" outlineLevel="0" max="16384" min="9" style="53" width="9.36"/>
  </cols>
  <sheetData>
    <row r="1" customFormat="false" ht="15.75" hidden="false" customHeight="true" outlineLevel="0" collapsed="false">
      <c r="A1" s="15" t="s">
        <v>948</v>
      </c>
      <c r="B1" s="15" t="s">
        <v>644</v>
      </c>
      <c r="C1" s="15" t="s">
        <v>865</v>
      </c>
      <c r="D1" s="15" t="s">
        <v>996</v>
      </c>
      <c r="E1" s="15" t="s">
        <v>1638</v>
      </c>
      <c r="F1" s="15" t="s">
        <v>2108</v>
      </c>
      <c r="G1" s="15" t="s">
        <v>2109</v>
      </c>
      <c r="H1" s="15" t="s">
        <v>2110</v>
      </c>
    </row>
  </sheetData>
  <dataValidations count="4">
    <dataValidation allowBlank="true" error="Decimal Value between 0 and 1" errorStyle="stop" errorTitle="Decimal Value between 0 and 1" operator="between" showDropDown="false" showErrorMessage="true" showInputMessage="true" sqref="E2:E1001" type="decimal">
      <formula1>0</formula1>
      <formula2>1</formula2>
    </dataValidation>
    <dataValidation allowBlank="true" error="Numbers Only" errorStyle="stop" errorTitle="Numbers Only" operator="greaterThanOrEqual" showDropDown="false" showErrorMessage="true" showInputMessage="true" sqref="G2:H1001" type="decimal">
      <formula1>0</formula1>
      <formula2>0</formula2>
    </dataValidation>
    <dataValidation allowBlank="true" errorStyle="stop" operator="greaterThanOrEqual" showDropDown="false" showErrorMessage="true" showInputMessage="true" sqref="G1:H1" type="none">
      <formula1>0</formula1>
      <formula2>0</formula2>
    </dataValidation>
    <dataValidation allowBlank="true" errorStyle="stop" operator="between" showDropDown="false" showErrorMessage="true" showInputMessage="true" sqref="F2:F1001" type="list">
      <formula1>Enums!$K$72:$K$75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6" activeCellId="0" sqref="K36"/>
    </sheetView>
  </sheetViews>
  <sheetFormatPr defaultColWidth="8.6328125" defaultRowHeight="15" customHeight="true" zeroHeight="false" outlineLevelRow="0" outlineLevelCol="0"/>
  <cols>
    <col collapsed="false" customWidth="true" hidden="false" outlineLevel="0" max="1" min="1" style="35" width="5"/>
    <col collapsed="false" customWidth="true" hidden="false" outlineLevel="0" max="2" min="2" style="35" width="15.45"/>
    <col collapsed="false" customWidth="true" hidden="false" outlineLevel="0" max="3" min="3" style="35" width="7.63"/>
    <col collapsed="false" customWidth="true" hidden="false" outlineLevel="0" max="4" min="4" style="35" width="13.54"/>
    <col collapsed="false" customWidth="true" hidden="false" outlineLevel="0" max="5" min="5" style="35" width="5.45"/>
    <col collapsed="false" customWidth="true" hidden="false" outlineLevel="0" max="6" min="6" style="35" width="8.54"/>
    <col collapsed="false" customWidth="true" hidden="false" outlineLevel="0" max="7" min="7" style="35" width="12.63"/>
    <col collapsed="false" customWidth="true" hidden="false" outlineLevel="0" max="8" min="8" style="35" width="9.36"/>
    <col collapsed="false" customWidth="true" hidden="false" outlineLevel="0" max="9" min="9" style="35" width="13.54"/>
    <col collapsed="false" customWidth="true" hidden="false" outlineLevel="0" max="10" min="10" style="35" width="6.63"/>
    <col collapsed="false" customWidth="true" hidden="false" outlineLevel="0" max="11" min="11" style="35" width="15.63"/>
    <col collapsed="false" customWidth="false" hidden="false" outlineLevel="0" max="16384" min="12" style="35" width="8.63"/>
  </cols>
  <sheetData>
    <row r="1" customFormat="false" ht="15.75" hidden="false" customHeight="true" outlineLevel="0" collapsed="false">
      <c r="A1" s="15" t="s">
        <v>948</v>
      </c>
      <c r="B1" s="15" t="s">
        <v>1692</v>
      </c>
      <c r="C1" s="15" t="s">
        <v>644</v>
      </c>
      <c r="D1" s="15" t="s">
        <v>865</v>
      </c>
      <c r="E1" s="15" t="s">
        <v>996</v>
      </c>
      <c r="F1" s="15" t="s">
        <v>532</v>
      </c>
      <c r="G1" s="15" t="s">
        <v>388</v>
      </c>
      <c r="H1" s="15" t="s">
        <v>386</v>
      </c>
      <c r="I1" s="15" t="s">
        <v>1122</v>
      </c>
      <c r="J1" s="15" t="s">
        <v>1119</v>
      </c>
      <c r="K1" s="15" t="s">
        <v>2115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6" activeCellId="0" sqref="K36"/>
    </sheetView>
  </sheetViews>
  <sheetFormatPr defaultColWidth="8.6328125" defaultRowHeight="15" customHeight="true" zeroHeight="false" outlineLevelRow="0" outlineLevelCol="0"/>
  <cols>
    <col collapsed="false" customWidth="true" hidden="false" outlineLevel="0" max="1" min="1" style="35" width="5"/>
    <col collapsed="false" customWidth="true" hidden="false" outlineLevel="0" max="2" min="2" style="35" width="17.63"/>
    <col collapsed="false" customWidth="true" hidden="false" outlineLevel="0" max="3" min="3" style="35" width="7.63"/>
    <col collapsed="false" customWidth="true" hidden="false" outlineLevel="0" max="4" min="4" style="35" width="13.54"/>
    <col collapsed="false" customWidth="true" hidden="false" outlineLevel="0" max="5" min="5" style="35" width="5.45"/>
    <col collapsed="false" customWidth="true" hidden="false" outlineLevel="0" max="6" min="6" style="35" width="8.54"/>
    <col collapsed="false" customWidth="true" hidden="false" outlineLevel="0" max="7" min="7" style="35" width="12.63"/>
    <col collapsed="false" customWidth="true" hidden="false" outlineLevel="0" max="8" min="8" style="35" width="9.36"/>
    <col collapsed="false" customWidth="true" hidden="false" outlineLevel="0" max="9" min="9" style="35" width="13.54"/>
    <col collapsed="false" customWidth="true" hidden="false" outlineLevel="0" max="10" min="10" style="35" width="6.63"/>
    <col collapsed="false" customWidth="true" hidden="false" outlineLevel="0" max="11" min="11" style="35" width="14.45"/>
    <col collapsed="false" customWidth="true" hidden="false" outlineLevel="0" max="12" min="12" style="35" width="26.63"/>
    <col collapsed="false" customWidth="false" hidden="false" outlineLevel="0" max="16384" min="13" style="35" width="8.63"/>
  </cols>
  <sheetData>
    <row r="1" customFormat="false" ht="15.75" hidden="false" customHeight="true" outlineLevel="0" collapsed="false">
      <c r="A1" s="15" t="s">
        <v>948</v>
      </c>
      <c r="B1" s="15" t="s">
        <v>1505</v>
      </c>
      <c r="C1" s="15" t="s">
        <v>644</v>
      </c>
      <c r="D1" s="15" t="s">
        <v>865</v>
      </c>
      <c r="E1" s="15" t="s">
        <v>996</v>
      </c>
      <c r="F1" s="15" t="s">
        <v>532</v>
      </c>
      <c r="G1" s="15" t="s">
        <v>388</v>
      </c>
      <c r="H1" s="15" t="s">
        <v>386</v>
      </c>
      <c r="I1" s="15" t="s">
        <v>1122</v>
      </c>
      <c r="J1" s="15" t="s">
        <v>1119</v>
      </c>
      <c r="K1" s="15" t="s">
        <v>1995</v>
      </c>
      <c r="L1" s="15" t="s">
        <v>140</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6" activeCellId="0" sqref="K36"/>
    </sheetView>
  </sheetViews>
  <sheetFormatPr defaultColWidth="9.36328125" defaultRowHeight="15" customHeight="true" zeroHeight="false" outlineLevelRow="0" outlineLevelCol="0"/>
  <cols>
    <col collapsed="false" customWidth="true" hidden="false" outlineLevel="0" max="1" min="1" style="35" width="5"/>
    <col collapsed="false" customWidth="true" hidden="false" outlineLevel="0" max="2" min="2" style="35" width="7.63"/>
    <col collapsed="false" customWidth="true" hidden="false" outlineLevel="0" max="3" min="3" style="35" width="13.54"/>
    <col collapsed="false" customWidth="true" hidden="false" outlineLevel="0" max="4" min="4" style="35" width="5.45"/>
    <col collapsed="false" customWidth="false" hidden="false" outlineLevel="0" max="5" min="5" style="35" width="9.36"/>
    <col collapsed="false" customWidth="true" hidden="false" outlineLevel="0" max="6" min="6" style="35" width="13.54"/>
    <col collapsed="false" customWidth="true" hidden="false" outlineLevel="0" max="7" min="7" style="35" width="6.63"/>
    <col collapsed="false" customWidth="true" hidden="false" outlineLevel="0" max="8" min="8" style="35" width="15.45"/>
    <col collapsed="false" customWidth="true" hidden="false" outlineLevel="0" max="9" min="9" style="35" width="23"/>
    <col collapsed="false" customWidth="true" hidden="false" outlineLevel="0" max="10" min="10" style="35" width="22.36"/>
    <col collapsed="false" customWidth="true" hidden="false" outlineLevel="0" max="11" min="11" style="35" width="19.63"/>
    <col collapsed="false" customWidth="false" hidden="false" outlineLevel="0" max="16384" min="12" style="35" width="9.36"/>
  </cols>
  <sheetData>
    <row r="1" customFormat="false" ht="15" hidden="false" customHeight="true" outlineLevel="0" collapsed="false">
      <c r="A1" s="15" t="s">
        <v>948</v>
      </c>
      <c r="B1" s="15" t="s">
        <v>644</v>
      </c>
      <c r="C1" s="15" t="s">
        <v>865</v>
      </c>
      <c r="D1" s="15" t="s">
        <v>996</v>
      </c>
      <c r="E1" s="15" t="s">
        <v>386</v>
      </c>
      <c r="F1" s="15" t="s">
        <v>1122</v>
      </c>
      <c r="G1" s="15" t="s">
        <v>1119</v>
      </c>
      <c r="H1" s="15" t="s">
        <v>2116</v>
      </c>
      <c r="I1" s="15" t="s">
        <v>2117</v>
      </c>
      <c r="J1" s="15" t="s">
        <v>672</v>
      </c>
      <c r="K1" s="15" t="s">
        <v>714</v>
      </c>
    </row>
  </sheetData>
  <dataValidations count="3">
    <dataValidation allowBlank="true" errorStyle="stop" operator="between" showDropDown="false" showErrorMessage="true" showInputMessage="true" sqref="I2:I1001" type="list">
      <formula1>Enums!$A$34:$A$35</formula1>
      <formula2>0</formula2>
    </dataValidation>
    <dataValidation allowBlank="true" errorStyle="stop" operator="between" showDropDown="false" showErrorMessage="true" showInputMessage="true" sqref="J2:J1001" type="list">
      <formula1>Enums!$AM$53:$AM$54</formula1>
      <formula2>0</formula2>
    </dataValidation>
    <dataValidation allowBlank="true" errorStyle="stop" operator="between" showDropDown="false" showErrorMessage="true" showInputMessage="true" sqref="K2:K1001" type="list">
      <formula1>Enums!$AM$57:$AM$58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9.36328125" defaultRowHeight="15" customHeight="true" zeroHeight="false" outlineLevelRow="0" outlineLevelCol="0"/>
  <cols>
    <col collapsed="false" customWidth="true" hidden="false" outlineLevel="0" max="1" min="1" style="35" width="14.45"/>
    <col collapsed="false" customWidth="true" hidden="false" outlineLevel="0" max="2" min="2" style="35" width="38.45"/>
    <col collapsed="false" customWidth="true" hidden="false" outlineLevel="0" max="3" min="3" style="35" width="14.54"/>
    <col collapsed="false" customWidth="true" hidden="false" outlineLevel="0" max="4" min="4" style="35" width="9.63"/>
    <col collapsed="false" customWidth="true" hidden="false" outlineLevel="0" max="5" min="5" style="35" width="13.45"/>
    <col collapsed="false" customWidth="true" hidden="false" outlineLevel="0" max="6" min="6" style="35" width="13.54"/>
    <col collapsed="false" customWidth="true" hidden="false" outlineLevel="0" max="7" min="7" style="35" width="13.45"/>
    <col collapsed="false" customWidth="true" hidden="false" outlineLevel="0" max="8" min="8" style="35" width="27.36"/>
    <col collapsed="false" customWidth="true" hidden="false" outlineLevel="0" max="9" min="9" style="35" width="12.63"/>
    <col collapsed="false" customWidth="true" hidden="false" outlineLevel="0" max="10" min="10" style="35" width="12.54"/>
    <col collapsed="false" customWidth="true" hidden="false" outlineLevel="0" max="11" min="11" style="35" width="12.36"/>
    <col collapsed="false" customWidth="true" hidden="false" outlineLevel="0" max="12" min="12" style="35" width="7.45"/>
    <col collapsed="false" customWidth="true" hidden="false" outlineLevel="0" max="13" min="13" style="35" width="9.63"/>
    <col collapsed="false" customWidth="true" hidden="false" outlineLevel="0" max="14" min="14" style="35" width="19.45"/>
    <col collapsed="false" customWidth="true" hidden="false" outlineLevel="0" max="15" min="15" style="35" width="9.63"/>
    <col collapsed="false" customWidth="true" hidden="false" outlineLevel="0" max="16" min="16" style="35" width="14"/>
    <col collapsed="false" customWidth="true" hidden="false" outlineLevel="0" max="17" min="17" style="35" width="13.36"/>
    <col collapsed="false" customWidth="true" hidden="false" outlineLevel="0" max="18" min="18" style="35" width="12.54"/>
    <col collapsed="false" customWidth="true" hidden="false" outlineLevel="0" max="19" min="19" style="35" width="14.63"/>
    <col collapsed="false" customWidth="true" hidden="false" outlineLevel="0" max="20" min="20" style="35" width="11.36"/>
    <col collapsed="false" customWidth="false" hidden="false" outlineLevel="0" max="16384" min="21" style="35" width="9.36"/>
  </cols>
  <sheetData>
    <row r="1" customFormat="false" ht="15" hidden="false" customHeight="true" outlineLevel="0" collapsed="false">
      <c r="A1" s="15" t="s">
        <v>2118</v>
      </c>
      <c r="B1" s="15" t="s">
        <v>2119</v>
      </c>
      <c r="C1" s="15" t="s">
        <v>2120</v>
      </c>
      <c r="D1" s="15" t="s">
        <v>2121</v>
      </c>
      <c r="E1" s="15" t="s">
        <v>644</v>
      </c>
      <c r="F1" s="15" t="s">
        <v>865</v>
      </c>
      <c r="G1" s="15" t="s">
        <v>2122</v>
      </c>
      <c r="H1" s="15" t="s">
        <v>532</v>
      </c>
      <c r="I1" s="15" t="s">
        <v>388</v>
      </c>
      <c r="J1" s="15" t="s">
        <v>2123</v>
      </c>
      <c r="K1" s="15" t="s">
        <v>2124</v>
      </c>
      <c r="L1" s="15" t="s">
        <v>2125</v>
      </c>
      <c r="M1" s="15" t="s">
        <v>489</v>
      </c>
      <c r="N1" s="15" t="s">
        <v>2126</v>
      </c>
      <c r="O1" s="15" t="s">
        <v>2127</v>
      </c>
      <c r="P1" s="15" t="s">
        <v>2128</v>
      </c>
      <c r="Q1" s="15" t="s">
        <v>2129</v>
      </c>
      <c r="R1" s="15" t="s">
        <v>2130</v>
      </c>
      <c r="S1" s="15" t="s">
        <v>2131</v>
      </c>
      <c r="T1" s="15" t="s">
        <v>2</v>
      </c>
    </row>
  </sheetData>
  <conditionalFormatting sqref="E2">
    <cfRule type="duplicateValues" priority="2" aboveAverage="0" equalAverage="0" bottom="0" percent="0" rank="0" text="" dxfId="238"/>
  </conditionalFormatting>
  <dataValidations count="7">
    <dataValidation allowBlank="true" errorStyle="stop" operator="between" showDropDown="false" showErrorMessage="true" showInputMessage="true" sqref="D2 L2" type="list">
      <formula1>"MoveFromStep,MoveToStep,Receive,Rework,Ship,TrackIn,TrackOut"</formula1>
      <formula2>0</formula2>
    </dataValidation>
    <dataValidation allowBlank="true" error="Numbers Only" errorStyle="stop" errorTitle="Numbers Only" operator="between" prompt="Time Limit in hours&#10;" showDropDown="false" showErrorMessage="true" showInputMessage="true" sqref="O2:O1001 Q2:Q1001" type="decimal">
      <formula1>0</formula1>
      <formula2>99999999999</formula2>
    </dataValidation>
    <dataValidation allowBlank="true" errorStyle="stop" operator="between" showDropDown="false" showErrorMessage="true" showInputMessage="true" sqref="M2:M1001" type="list">
      <formula1>Enums!$S$64:$S$65</formula1>
      <formula2>0</formula2>
    </dataValidation>
    <dataValidation allowBlank="true" errorStyle="stop" operator="between" showDropDown="false" showErrorMessage="true" showInputMessage="true" sqref="S2:S1001" type="list">
      <formula1>Enums!$A$34:$A$35</formula1>
      <formula2>0</formula2>
    </dataValidation>
    <dataValidation allowBlank="true" errorStyle="stop" operator="between" showDropDown="false" showErrorMessage="true" showInputMessage="true" sqref="N2:N1001" type="list">
      <formula1>Enums!$S$68:$S$70</formula1>
      <formula2>0</formula2>
    </dataValidation>
    <dataValidation allowBlank="true" errorStyle="stop" operator="between" showDropDown="false" showErrorMessage="true" showInputMessage="true" sqref="C2:C1001" type="list">
      <formula1>Enums!$AC$97:$AC$103</formula1>
      <formula2>0</formula2>
    </dataValidation>
    <dataValidation allowBlank="true" errorStyle="stop" operator="between" showDropDown="false" showErrorMessage="true" showInputMessage="true" sqref="K2:K1001" type="list">
      <formula1>Enums!$AE$97:$AE$103</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6" activeCellId="0" sqref="K36"/>
    </sheetView>
  </sheetViews>
  <sheetFormatPr defaultColWidth="9.36328125" defaultRowHeight="15" customHeight="true" zeroHeight="false" outlineLevelRow="0" outlineLevelCol="0"/>
  <cols>
    <col collapsed="false" customWidth="true" hidden="false" outlineLevel="0" max="1" min="1" style="53" width="6.54"/>
    <col collapsed="false" customWidth="true" hidden="false" outlineLevel="0" max="2" min="2" style="53" width="11.63"/>
    <col collapsed="false" customWidth="true" hidden="false" outlineLevel="0" max="3" min="3" style="53" width="7.45"/>
    <col collapsed="false" customWidth="true" hidden="false" outlineLevel="0" max="4" min="4" style="53" width="5.45"/>
    <col collapsed="false" customWidth="true" hidden="false" outlineLevel="0" max="5" min="5" style="53" width="5"/>
    <col collapsed="false" customWidth="false" hidden="false" outlineLevel="0" max="6" min="6" style="53" width="9.36"/>
    <col collapsed="false" customWidth="true" hidden="false" outlineLevel="0" max="7" min="7" style="53" width="23.45"/>
    <col collapsed="false" customWidth="true" hidden="false" outlineLevel="0" max="8" min="8" style="53" width="5.45"/>
    <col collapsed="false" customWidth="true" hidden="false" outlineLevel="0" max="9" min="9" style="53" width="12.54"/>
    <col collapsed="false" customWidth="false" hidden="false" outlineLevel="0" max="16384" min="10" style="53" width="9.36"/>
  </cols>
  <sheetData>
    <row r="1" customFormat="false" ht="15.75" hidden="false" customHeight="true" outlineLevel="0" collapsed="false">
      <c r="A1" s="15" t="s">
        <v>1273</v>
      </c>
      <c r="B1" s="15" t="s">
        <v>1193</v>
      </c>
      <c r="C1" s="15" t="s">
        <v>922</v>
      </c>
      <c r="D1" s="15" t="s">
        <v>490</v>
      </c>
      <c r="E1" s="15" t="s">
        <v>948</v>
      </c>
      <c r="F1" s="15" t="s">
        <v>386</v>
      </c>
      <c r="G1" s="15" t="s">
        <v>2086</v>
      </c>
      <c r="H1" s="15" t="s">
        <v>2132</v>
      </c>
      <c r="I1" s="15" t="s">
        <v>1156</v>
      </c>
    </row>
  </sheetData>
  <dataValidations count="1">
    <dataValidation allowBlank="true" errorStyle="stop" operator="between" showDropDown="false" showErrorMessage="true" showInputMessage="true" sqref="G2:G1001" type="list">
      <formula1>Enums!$O$37:$O$44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K36" activeCellId="0" sqref="K36"/>
    </sheetView>
  </sheetViews>
  <sheetFormatPr defaultColWidth="8.6328125" defaultRowHeight="15" customHeight="true" zeroHeight="false" outlineLevelRow="0" outlineLevelCol="0"/>
  <cols>
    <col collapsed="false" customWidth="true" hidden="false" outlineLevel="0" max="1" min="1" style="35" width="20.63"/>
    <col collapsed="false" customWidth="true" hidden="false" outlineLevel="0" max="2" min="2" style="35" width="18"/>
    <col collapsed="false" customWidth="true" hidden="false" outlineLevel="0" max="3" min="3" style="35" width="8.54"/>
    <col collapsed="false" customWidth="true" hidden="false" outlineLevel="0" max="4" min="4" style="35" width="7.63"/>
    <col collapsed="false" customWidth="false" hidden="false" outlineLevel="0" max="16384" min="5" style="35" width="8.63"/>
  </cols>
  <sheetData>
    <row r="1" customFormat="false" ht="15.75" hidden="false" customHeight="true" outlineLevel="0" collapsed="false">
      <c r="A1" s="15" t="s">
        <v>2133</v>
      </c>
      <c r="B1" s="15" t="s">
        <v>2134</v>
      </c>
      <c r="C1" s="15" t="s">
        <v>1294</v>
      </c>
      <c r="D1" s="15" t="s">
        <v>445</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9.36328125" defaultRowHeight="14.25" customHeight="false" zeroHeight="false" outlineLevelRow="0" outlineLevelCol="0"/>
  <cols>
    <col collapsed="false" customWidth="true" hidden="false" outlineLevel="0" max="1" min="1" style="93" width="40"/>
    <col collapsed="false" customWidth="true" hidden="false" outlineLevel="0" max="2" min="2" style="93" width="21.54"/>
    <col collapsed="false" customWidth="true" hidden="false" outlineLevel="0" max="3" min="3" style="93" width="37.45"/>
    <col collapsed="false" customWidth="true" hidden="false" outlineLevel="0" max="4" min="4" style="93" width="16.36"/>
    <col collapsed="false" customWidth="true" hidden="false" outlineLevel="0" max="5" min="5" style="93" width="23.54"/>
    <col collapsed="false" customWidth="false" hidden="false" outlineLevel="0" max="16384" min="6" style="93" width="9.36"/>
  </cols>
  <sheetData>
    <row r="1" customFormat="false" ht="14.25" hidden="false" customHeight="false" outlineLevel="0" collapsed="false">
      <c r="A1" s="15" t="s">
        <v>2135</v>
      </c>
      <c r="B1" s="15" t="s">
        <v>1206</v>
      </c>
      <c r="C1" s="15" t="s">
        <v>2136</v>
      </c>
      <c r="D1" s="15" t="s">
        <v>2137</v>
      </c>
      <c r="E1" s="15" t="s">
        <v>2138</v>
      </c>
    </row>
  </sheetData>
  <autoFilter ref="A1:E1"/>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36328125" defaultRowHeight="14.25" customHeight="false" zeroHeight="false" outlineLevelRow="0" outlineLevelCol="0"/>
  <cols>
    <col collapsed="false" customWidth="true" hidden="false" outlineLevel="0" max="1" min="1" style="94" width="14.45"/>
    <col collapsed="false" customWidth="true" hidden="false" outlineLevel="0" max="2" min="2" style="94" width="20.63"/>
    <col collapsed="false" customWidth="false" hidden="false" outlineLevel="0" max="16384" min="3" style="94" width="9.36"/>
  </cols>
  <sheetData>
    <row r="1" s="95" customFormat="true" ht="14.25" hidden="false" customHeight="false" outlineLevel="0" collapsed="false">
      <c r="A1" s="15" t="s">
        <v>422</v>
      </c>
      <c r="B1" s="15" t="s">
        <v>2139</v>
      </c>
    </row>
  </sheetData>
  <autoFilter ref="A1"/>
  <dataValidations count="1">
    <dataValidation allowBlank="true" errorStyle="stop" operator="between" showDropDown="false" showErrorMessage="true" showInputMessage="true" sqref="B2 A3 B4 B6:B62" type="list">
      <formula1>Enums!$Q$81:$Q$87</formula1>
      <formula2>0</formula2>
    </dataValidation>
  </dataValidations>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8.6796875" defaultRowHeight="14.25" customHeight="false" zeroHeight="false" outlineLevelRow="0" outlineLevelCol="0"/>
  <cols>
    <col collapsed="false" customWidth="true" hidden="false" outlineLevel="0" max="1" min="1" style="0" width="17.63"/>
    <col collapsed="false" customWidth="true" hidden="false" outlineLevel="0" max="2" min="2" style="0" width="23.09"/>
    <col collapsed="false" customWidth="true" hidden="false" outlineLevel="0" max="3" min="3" style="0" width="21.54"/>
    <col collapsed="false" customWidth="true" hidden="false" outlineLevel="0" max="4" min="4" style="0" width="20.36"/>
  </cols>
  <sheetData>
    <row r="1" customFormat="false" ht="14.25" hidden="false" customHeight="false" outlineLevel="0" collapsed="false">
      <c r="A1" s="94" t="s">
        <v>2140</v>
      </c>
      <c r="B1" s="94" t="s">
        <v>948</v>
      </c>
      <c r="C1" s="94" t="s">
        <v>2141</v>
      </c>
      <c r="D1" s="94" t="s">
        <v>2142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14" activeCellId="0" sqref="M14"/>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9"/>
    <col collapsed="false" customWidth="true" hidden="false" outlineLevel="0" max="4" min="4" style="1" width="10.54"/>
    <col collapsed="false" customWidth="true" hidden="false" outlineLevel="0" max="5" min="5" style="1" width="10.63"/>
    <col collapsed="false" customWidth="true" hidden="false" outlineLevel="0" max="6" min="6" style="1" width="12"/>
    <col collapsed="false" customWidth="true" hidden="false" outlineLevel="0" max="7" min="7" style="1" width="13.54"/>
    <col collapsed="false" customWidth="true" hidden="false" outlineLevel="0" max="8" min="8" style="1" width="10"/>
    <col collapsed="false" customWidth="true" hidden="false" outlineLevel="0" max="9" min="9" style="1" width="11"/>
    <col collapsed="false" customWidth="true" hidden="false" outlineLevel="0" max="10" min="10" style="1" width="9.54"/>
    <col collapsed="false" customWidth="true" hidden="false" outlineLevel="0" max="11" min="11" style="1" width="10.54"/>
    <col collapsed="false" customWidth="true" hidden="false" outlineLevel="0" max="12" min="12" style="1" width="18.54"/>
    <col collapsed="false" customWidth="true" hidden="false" outlineLevel="0" max="13" min="13" style="1" width="57.36"/>
    <col collapsed="false" customWidth="true" hidden="false" outlineLevel="0" max="14" min="14" style="1" width="8.54"/>
    <col collapsed="false" customWidth="true" hidden="false" outlineLevel="0" max="15" min="15" style="1" width="5.54"/>
    <col collapsed="false" customWidth="true" hidden="false" outlineLevel="0" max="16" min="16" style="1" width="23.36"/>
    <col collapsed="false" customWidth="true" hidden="false" outlineLevel="0" max="17" min="17" style="1" width="21.63"/>
    <col collapsed="false" customWidth="true" hidden="false" outlineLevel="0" max="18" min="18" style="1" width="9.45"/>
    <col collapsed="false" customWidth="true" hidden="false" outlineLevel="0" max="19" min="19" style="1" width="7.54"/>
    <col collapsed="false" customWidth="true" hidden="false" outlineLevel="0" max="20" min="20" style="1" width="16.54"/>
    <col collapsed="false" customWidth="true" hidden="false" outlineLevel="0" max="21" min="21" style="1" width="15.63"/>
    <col collapsed="false" customWidth="true" hidden="false" outlineLevel="0" max="22" min="22" style="1" width="17.45"/>
    <col collapsed="false" customWidth="true" hidden="false" outlineLevel="0" max="23" min="23" style="1" width="30.54"/>
    <col collapsed="false" customWidth="true" hidden="false" outlineLevel="0" max="24" min="24" style="1" width="24.36"/>
    <col collapsed="false" customWidth="true" hidden="false" outlineLevel="0" max="25" min="25" style="1" width="19.45"/>
    <col collapsed="false" customWidth="true" hidden="false" outlineLevel="0" max="26" min="26" style="1" width="14.36"/>
    <col collapsed="false" customWidth="true" hidden="false" outlineLevel="0" max="27" min="27" style="1" width="14.54"/>
    <col collapsed="false" customWidth="true" hidden="false" outlineLevel="0" max="29" min="28" style="1" width="15.63"/>
    <col collapsed="false" customWidth="false" hidden="false" outlineLevel="0" max="30" min="30" style="1" width="9.36"/>
    <col collapsed="false" customWidth="true" hidden="false" outlineLevel="0" max="33" min="31" style="1" width="9.45"/>
    <col collapsed="false" customWidth="false" hidden="false" outlineLevel="0" max="16384" min="34" style="1" width="9.36"/>
  </cols>
  <sheetData>
    <row r="1" s="2" customFormat="true" ht="15" hidden="false" customHeight="true" outlineLevel="0" collapsed="false">
      <c r="A1" s="15" t="s">
        <v>1011</v>
      </c>
      <c r="B1" s="15" t="s">
        <v>2</v>
      </c>
      <c r="C1" s="15" t="s">
        <v>489</v>
      </c>
      <c r="D1" s="15" t="s">
        <v>1251</v>
      </c>
      <c r="E1" s="15" t="s">
        <v>1506</v>
      </c>
      <c r="F1" s="15" t="s">
        <v>2143</v>
      </c>
      <c r="G1" s="15" t="s">
        <v>2144</v>
      </c>
      <c r="H1" s="15" t="s">
        <v>2145</v>
      </c>
      <c r="I1" s="15" t="s">
        <v>1300</v>
      </c>
      <c r="J1" s="15" t="s">
        <v>2146</v>
      </c>
      <c r="K1" s="15" t="s">
        <v>922</v>
      </c>
      <c r="L1" s="15" t="s">
        <v>644</v>
      </c>
      <c r="M1" s="15" t="s">
        <v>1085</v>
      </c>
      <c r="N1" s="15" t="s">
        <v>362</v>
      </c>
      <c r="O1" s="15" t="s">
        <v>979</v>
      </c>
      <c r="P1" s="15" t="s">
        <v>2147</v>
      </c>
      <c r="Q1" s="15" t="s">
        <v>2148</v>
      </c>
      <c r="R1" s="15" t="s">
        <v>368</v>
      </c>
      <c r="S1" s="15" t="s">
        <v>354</v>
      </c>
      <c r="T1" s="15" t="s">
        <v>2149</v>
      </c>
      <c r="U1" s="15" t="s">
        <v>2150</v>
      </c>
      <c r="V1" s="15" t="s">
        <v>1555</v>
      </c>
      <c r="W1" s="15" t="s">
        <v>2151</v>
      </c>
      <c r="X1" s="15" t="s">
        <v>2152</v>
      </c>
      <c r="Y1" s="15" t="s">
        <v>2153</v>
      </c>
      <c r="Z1" s="15" t="s">
        <v>1321</v>
      </c>
      <c r="AA1" s="15" t="s">
        <v>1178</v>
      </c>
      <c r="AB1" s="15" t="s">
        <v>2154</v>
      </c>
      <c r="AE1" s="2" t="s">
        <v>2155</v>
      </c>
      <c r="AF1" s="2" t="s">
        <v>2156</v>
      </c>
      <c r="AG1" s="2" t="s">
        <v>695</v>
      </c>
    </row>
  </sheetData>
  <conditionalFormatting sqref="L3">
    <cfRule type="duplicateValues" priority="2" aboveAverage="0" equalAverage="0" bottom="0" percent="0" rank="0" text="" dxfId="239"/>
  </conditionalFormatting>
  <dataValidations count="8">
    <dataValidation allowBlank="true" errorStyle="stop" operator="greaterThanOrEqual" showDropDown="false" showErrorMessage="true" showInputMessage="true" sqref="1:1" type="none">
      <formula1>0</formula1>
      <formula2>0</formula2>
    </dataValidation>
    <dataValidation allowBlank="true" error="Whole Numbers Only" errorStyle="stop" operator="greaterThanOrEqual" showDropDown="false" showErrorMessage="true" showInputMessage="true" sqref="H2:H1001" type="whole">
      <formula1>0</formula1>
      <formula2>0</formula2>
    </dataValidation>
    <dataValidation allowBlank="true" error="Numbers Only" errorStyle="stop" operator="greaterThanOrEqual" showDropDown="false" showErrorMessage="true" showInputMessage="true" sqref="N2:N1001" type="decimal">
      <formula1>0</formula1>
      <formula2>0</formula2>
    </dataValidation>
    <dataValidation allowBlank="true" error="Decimal Number Between 0 and 1" errorStyle="stop" operator="between" showDropDown="false" showErrorMessage="true" showInputMessage="true" sqref="P2:Q1001" type="decimal">
      <formula1>0</formula1>
      <formula2>1</formula2>
    </dataValidation>
    <dataValidation allowBlank="true" error="Whole Number from 1 to 10" errorStyle="stop" operator="between" showDropDown="false" showErrorMessage="true" showInputMessage="true" sqref="S2:S1001" type="whole">
      <formula1>1</formula1>
      <formula2>10</formula2>
    </dataValidation>
    <dataValidation allowBlank="true" errorStyle="stop" operator="between" showDropDown="false" showErrorMessage="true" showInputMessage="true" sqref="F2:F1001" type="list">
      <formula1>Enums!$U$97:$U$98</formula1>
      <formula2>0</formula2>
    </dataValidation>
    <dataValidation allowBlank="true" errorStyle="stop" operator="between" showDropDown="false" showErrorMessage="true" showInputMessage="true" sqref="V2:Z1001" type="list">
      <formula1>Enums!$A$34:$A$35</formula1>
      <formula2>0</formula2>
    </dataValidation>
    <dataValidation allowBlank="true" errorStyle="stop" operator="greaterThanOrEqual" showDropDown="false" showErrorMessage="true" showInputMessage="true" sqref="E2:E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37" activeCellId="0" sqref="G37"/>
    </sheetView>
  </sheetViews>
  <sheetFormatPr defaultColWidth="9.36328125" defaultRowHeight="15" customHeight="true" zeroHeight="false" outlineLevelRow="0" outlineLevelCol="0"/>
  <cols>
    <col collapsed="false" customWidth="true" hidden="false" outlineLevel="0" max="1" min="1" style="1" width="16"/>
    <col collapsed="false" customWidth="true" hidden="false" outlineLevel="0" max="2" min="2" style="1" width="28.45"/>
    <col collapsed="false" customWidth="true" hidden="false" outlineLevel="0" max="3" min="3" style="1" width="24.63"/>
    <col collapsed="false" customWidth="true" hidden="false" outlineLevel="0" max="4" min="4" style="1" width="33.36"/>
    <col collapsed="false" customWidth="false" hidden="false" outlineLevel="0" max="16384" min="5" style="1" width="9.36"/>
  </cols>
  <sheetData>
    <row r="1" s="2" customFormat="true" ht="15" hidden="false" customHeight="true" outlineLevel="0" collapsed="false">
      <c r="A1" s="96" t="s">
        <v>898</v>
      </c>
      <c r="B1" s="96" t="s">
        <v>2157</v>
      </c>
      <c r="C1" s="49" t="s">
        <v>2158</v>
      </c>
      <c r="D1" s="49" t="s">
        <v>2159</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L12" activeCellId="0" sqref="L12"/>
    </sheetView>
  </sheetViews>
  <sheetFormatPr defaultColWidth="9.36328125" defaultRowHeight="15" customHeight="true" zeroHeight="false" outlineLevelRow="0" outlineLevelCol="0"/>
  <cols>
    <col collapsed="false" customWidth="true" hidden="false" outlineLevel="0" max="1" min="1" style="1" width="18.63"/>
    <col collapsed="false" customWidth="true" hidden="false" outlineLevel="0" max="2" min="2" style="1" width="17.54"/>
    <col collapsed="false" customWidth="false" hidden="false" outlineLevel="0" max="16384" min="3" style="1" width="9.36"/>
  </cols>
  <sheetData>
    <row r="1" s="30" customFormat="true" ht="15.75" hidden="false" customHeight="true" outlineLevel="0" collapsed="false">
      <c r="A1" s="15" t="s">
        <v>2160</v>
      </c>
      <c r="B1" s="15" t="s">
        <v>2161</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12" activeCellId="0" sqref="B12"/>
    </sheetView>
  </sheetViews>
  <sheetFormatPr defaultColWidth="9.36328125" defaultRowHeight="15" customHeight="true" zeroHeight="false" outlineLevelRow="0" outlineLevelCol="0"/>
  <cols>
    <col collapsed="false" customWidth="true" hidden="false" outlineLevel="0" max="1" min="1" style="1" width="14.36"/>
    <col collapsed="false" customWidth="true" hidden="false" outlineLevel="0" max="2" min="2" style="1" width="13.54"/>
    <col collapsed="false" customWidth="false" hidden="false" outlineLevel="0" max="16384" min="3" style="1" width="9.36"/>
  </cols>
  <sheetData>
    <row r="1" s="30" customFormat="true" ht="15.75" hidden="false" customHeight="true" outlineLevel="0" collapsed="false">
      <c r="A1" s="15" t="s">
        <v>2162</v>
      </c>
      <c r="B1" s="15" t="s">
        <v>1122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H2" activePane="bottomRight" state="frozen"/>
      <selection pane="topLeft" activeCell="A1" activeCellId="0" sqref="A1"/>
      <selection pane="topRight" activeCell="H1" activeCellId="0" sqref="H1"/>
      <selection pane="bottomLeft" activeCell="A2" activeCellId="0" sqref="A2"/>
      <selection pane="bottomRight" activeCell="A3" activeCellId="0" sqref="A3"/>
    </sheetView>
  </sheetViews>
  <sheetFormatPr defaultColWidth="9.36328125" defaultRowHeight="15" customHeight="true" zeroHeight="false" outlineLevelRow="0" outlineLevelCol="0"/>
  <cols>
    <col collapsed="false" customWidth="true" hidden="false" outlineLevel="0" max="1" min="1" style="1" width="11.54"/>
    <col collapsed="false" customWidth="true" hidden="false" outlineLevel="0" max="2" min="2" style="1" width="11.36"/>
    <col collapsed="false" customWidth="true" hidden="false" outlineLevel="0" max="3" min="3" style="1" width="12.63"/>
    <col collapsed="false" customWidth="true" hidden="false" outlineLevel="0" max="4" min="4" style="1" width="10.63"/>
    <col collapsed="false" customWidth="true" hidden="false" outlineLevel="0" max="5" min="5" style="1" width="10.54"/>
    <col collapsed="false" customWidth="true" hidden="false" outlineLevel="0" max="6" min="6" style="1" width="7.45"/>
    <col collapsed="false" customWidth="true" hidden="false" outlineLevel="0" max="7" min="7" style="1" width="7.54"/>
    <col collapsed="false" customWidth="true" hidden="false" outlineLevel="0" max="8" min="8" style="1" width="9.45"/>
    <col collapsed="false" customWidth="true" hidden="false" outlineLevel="0" max="9" min="9" style="1" width="16.54"/>
    <col collapsed="false" customWidth="true" hidden="false" outlineLevel="0" max="10" min="10" style="1" width="30.45"/>
    <col collapsed="false" customWidth="true" hidden="false" outlineLevel="0" max="11" min="11" style="1" width="13.54"/>
    <col collapsed="false" customWidth="true" hidden="false" outlineLevel="0" max="12" min="12" style="1" width="23.45"/>
    <col collapsed="false" customWidth="true" hidden="false" outlineLevel="0" max="13" min="13" style="1" width="11.45"/>
    <col collapsed="false" customWidth="true" hidden="false" outlineLevel="0" max="14" min="14" style="1" width="14.54"/>
    <col collapsed="false" customWidth="true" hidden="false" outlineLevel="0" max="15" min="15" style="1" width="13.45"/>
    <col collapsed="false" customWidth="true" hidden="false" outlineLevel="0" max="16" min="16" style="1" width="19"/>
    <col collapsed="false" customWidth="true" hidden="false" outlineLevel="0" max="17" min="17" style="1" width="13.36"/>
    <col collapsed="false" customWidth="true" hidden="false" outlineLevel="0" max="18" min="18" style="1" width="17.45"/>
    <col collapsed="false" customWidth="true" hidden="false" outlineLevel="0" max="19" min="19" style="1" width="8.45"/>
    <col collapsed="false" customWidth="true" hidden="false" outlineLevel="0" max="20" min="20" style="1" width="24"/>
    <col collapsed="false" customWidth="true" hidden="false" outlineLevel="0" max="21" min="21" style="1" width="12"/>
    <col collapsed="false" customWidth="false" hidden="false" outlineLevel="0" max="16384" min="22" style="1" width="9.36"/>
  </cols>
  <sheetData>
    <row r="1" s="30" customFormat="true" ht="15.75" hidden="false" customHeight="true" outlineLevel="0" collapsed="false">
      <c r="A1" s="15" t="s">
        <v>1011</v>
      </c>
      <c r="B1" s="15" t="s">
        <v>2</v>
      </c>
      <c r="C1" s="15" t="s">
        <v>489</v>
      </c>
      <c r="D1" s="15" t="s">
        <v>1506</v>
      </c>
      <c r="E1" s="15" t="s">
        <v>1251</v>
      </c>
      <c r="F1" s="15" t="s">
        <v>922</v>
      </c>
      <c r="G1" s="15" t="s">
        <v>1732</v>
      </c>
      <c r="H1" s="15" t="s">
        <v>2163</v>
      </c>
      <c r="I1" s="15" t="s">
        <v>910</v>
      </c>
      <c r="J1" s="15" t="s">
        <v>1752</v>
      </c>
      <c r="K1" s="15" t="s">
        <v>1704</v>
      </c>
      <c r="L1" s="15" t="s">
        <v>2164</v>
      </c>
      <c r="M1" s="15" t="s">
        <v>1001</v>
      </c>
      <c r="N1" s="15" t="s">
        <v>1051</v>
      </c>
      <c r="O1" s="15" t="s">
        <v>2165</v>
      </c>
      <c r="P1" s="15" t="s">
        <v>2166</v>
      </c>
      <c r="Q1" s="15" t="s">
        <v>2167</v>
      </c>
      <c r="R1" s="15" t="s">
        <v>2168</v>
      </c>
      <c r="S1" s="15" t="s">
        <v>1787</v>
      </c>
      <c r="T1" s="15" t="s">
        <v>2169</v>
      </c>
      <c r="U1" s="15" t="s">
        <v>2143</v>
      </c>
    </row>
  </sheetData>
  <dataValidations count="9">
    <dataValidation allowBlank="true" errorStyle="stop" operator="greaterThanOrEqual" showDropDown="false" showErrorMessage="true" showInputMessage="true" sqref="K1 P1" type="none">
      <formula1>0</formula1>
      <formula2>0</formula2>
    </dataValidation>
    <dataValidation allowBlank="true" errorStyle="stop" operator="between" showDropDown="false" showErrorMessage="true" showInputMessage="true" sqref="D2:E1001" type="list">
      <formula1>"Yes,No"</formula1>
      <formula2>0</formula2>
    </dataValidation>
    <dataValidation allowBlank="true" error="Whole Numbers Only&#10;-1 for Unlimited Positions" errorStyle="stop" operator="greaterThanOrEqual" showDropDown="false" showErrorMessage="true" showInputMessage="true" sqref="K2:K1001" type="whole">
      <formula1>-1</formula1>
      <formula2>0</formula2>
    </dataValidation>
    <dataValidation allowBlank="true" error="Numbes Only" errorStyle="stop" operator="greaterThanOrEqual" showDropDown="false" showErrorMessage="true" showInputMessage="true" sqref="P2:P1001" type="decimal">
      <formula1>0</formula1>
      <formula2>0</formula2>
    </dataValidation>
    <dataValidation allowBlank="true" errorStyle="stop" operator="between" showDropDown="false" showErrorMessage="true" showInputMessage="true" sqref="I2:I1001" type="list">
      <formula1>Enums!$U$76:$U$78</formula1>
      <formula2>0</formula2>
    </dataValidation>
    <dataValidation allowBlank="true" errorStyle="stop" operator="between" showDropDown="false" showErrorMessage="true" showInputMessage="true" sqref="J2:J1001 R2:R1001" type="list">
      <formula1>Enums!$A$34:$A$35</formula1>
      <formula2>0</formula2>
    </dataValidation>
    <dataValidation allowBlank="true" errorStyle="stop" operator="between" showDropDown="false" showErrorMessage="true" showInputMessage="true" sqref="M2:M1001" type="list">
      <formula1>Enums!$U$86:$U$90</formula1>
      <formula2>0</formula2>
    </dataValidation>
    <dataValidation allowBlank="true" errorStyle="stop" operator="between" showDropDown="false" showErrorMessage="true" showInputMessage="true" sqref="L2:L1001" type="list">
      <formula1>Enums!$U$81:$U$83</formula1>
      <formula2>0</formula2>
    </dataValidation>
    <dataValidation allowBlank="true" errorStyle="stop" operator="between" showDropDown="false" showErrorMessage="true" showInputMessage="true" sqref="N2:N1001" type="list">
      <formula1>Enums!$U$93:$U$94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37" activeCellId="0" sqref="G37"/>
    </sheetView>
  </sheetViews>
  <sheetFormatPr defaultColWidth="10.36328125" defaultRowHeight="15" customHeight="true" zeroHeight="false" outlineLevelRow="0" outlineLevelCol="0"/>
  <cols>
    <col collapsed="false" customWidth="true" hidden="false" outlineLevel="0" max="1" min="1" style="1" width="5"/>
    <col collapsed="false" customWidth="true" hidden="false" outlineLevel="0" max="2" min="2" style="1" width="20.54"/>
    <col collapsed="false" customWidth="true" hidden="false" outlineLevel="0" max="3" min="3" style="1" width="5.54"/>
    <col collapsed="false" customWidth="true" hidden="false" outlineLevel="0" max="4" min="4" style="1" width="13.45"/>
    <col collapsed="false" customWidth="true" hidden="false" outlineLevel="0" max="5" min="5" style="1" width="7.45"/>
    <col collapsed="false" customWidth="true" hidden="false" outlineLevel="0" max="6" min="6" style="1" width="12"/>
    <col collapsed="false" customWidth="true" hidden="false" outlineLevel="0" max="7" min="7" style="1" width="12.54"/>
    <col collapsed="false" customWidth="true" hidden="false" outlineLevel="0" max="8" min="8" style="1" width="26.45"/>
    <col collapsed="false" customWidth="true" hidden="false" outlineLevel="0" max="9" min="9" style="1" width="35.54"/>
    <col collapsed="false" customWidth="true" hidden="false" outlineLevel="0" max="10" min="10" style="1" width="40"/>
    <col collapsed="false" customWidth="true" hidden="false" outlineLevel="0" max="11" min="11" style="1" width="35"/>
    <col collapsed="false" customWidth="true" hidden="false" outlineLevel="0" max="12" min="12" style="1" width="20.45"/>
    <col collapsed="false" customWidth="true" hidden="false" outlineLevel="0" max="13" min="13" style="1" width="29.45"/>
    <col collapsed="false" customWidth="true" hidden="false" outlineLevel="0" max="14" min="14" style="1" width="16.63"/>
    <col collapsed="false" customWidth="true" hidden="false" outlineLevel="0" max="15" min="15" style="1" width="15.36"/>
    <col collapsed="false" customWidth="true" hidden="false" outlineLevel="0" max="16" min="16" style="1" width="14.54"/>
    <col collapsed="false" customWidth="true" hidden="false" outlineLevel="0" max="17" min="17" style="1" width="27.54"/>
    <col collapsed="false" customWidth="true" hidden="false" outlineLevel="0" max="18" min="18" style="1" width="23.45"/>
    <col collapsed="false" customWidth="true" hidden="false" outlineLevel="0" max="19" min="19" style="1" width="23.36"/>
    <col collapsed="false" customWidth="true" hidden="false" outlineLevel="0" max="20" min="20" style="1" width="25.63"/>
    <col collapsed="false" customWidth="true" hidden="false" outlineLevel="0" max="21" min="21" style="1" width="21.54"/>
    <col collapsed="false" customWidth="true" hidden="false" outlineLevel="0" max="22" min="22" style="1" width="21.45"/>
    <col collapsed="false" customWidth="true" hidden="false" outlineLevel="0" max="23" min="23" style="1" width="30.54"/>
    <col collapsed="false" customWidth="true" hidden="false" outlineLevel="0" max="24" min="24" style="1" width="19.54"/>
    <col collapsed="false" customWidth="true" hidden="false" outlineLevel="0" max="25" min="25" style="1" width="37.45"/>
    <col collapsed="false" customWidth="true" hidden="false" outlineLevel="0" max="26" min="26" style="1" width="36"/>
    <col collapsed="false" customWidth="true" hidden="false" outlineLevel="0" max="27" min="27" style="1" width="28.54"/>
    <col collapsed="false" customWidth="true" hidden="false" outlineLevel="0" max="28" min="28" style="1" width="26.45"/>
    <col collapsed="false" customWidth="true" hidden="false" outlineLevel="0" max="29" min="29" style="1" width="5.45"/>
    <col collapsed="false" customWidth="true" hidden="false" outlineLevel="0" max="30" min="30" style="1" width="15.45"/>
    <col collapsed="false" customWidth="true" hidden="false" outlineLevel="0" max="31" min="31" style="1" width="9.45"/>
    <col collapsed="false" customWidth="true" hidden="false" outlineLevel="0" max="32" min="32" style="1" width="7.63"/>
    <col collapsed="false" customWidth="true" hidden="false" outlineLevel="0" max="33" min="33" style="1" width="13.54"/>
    <col collapsed="false" customWidth="true" hidden="false" outlineLevel="0" max="34" min="34" style="1" width="12.63"/>
    <col collapsed="false" customWidth="true" hidden="false" outlineLevel="0" max="35" min="35" style="1" width="14.54"/>
    <col collapsed="false" customWidth="true" hidden="false" outlineLevel="0" max="36" min="36" style="1" width="9.63"/>
    <col collapsed="false" customWidth="false" hidden="false" outlineLevel="0" max="16384" min="37" style="1" width="10.36"/>
  </cols>
  <sheetData>
    <row r="1" s="2" customFormat="true" ht="15" hidden="false" customHeight="true" outlineLevel="0" collapsed="false">
      <c r="A1" s="15" t="s">
        <v>948</v>
      </c>
      <c r="B1" s="15" t="s">
        <v>1273</v>
      </c>
      <c r="C1" s="15" t="s">
        <v>954</v>
      </c>
      <c r="D1" s="97" t="s">
        <v>1683</v>
      </c>
      <c r="E1" s="15" t="s">
        <v>1458</v>
      </c>
      <c r="F1" s="15" t="s">
        <v>2170</v>
      </c>
      <c r="G1" s="15" t="s">
        <v>2171</v>
      </c>
      <c r="H1" s="15" t="s">
        <v>2172</v>
      </c>
      <c r="I1" s="34" t="s">
        <v>2173</v>
      </c>
      <c r="J1" s="15" t="s">
        <v>2174</v>
      </c>
      <c r="K1" s="15" t="s">
        <v>2175</v>
      </c>
      <c r="L1" s="15" t="s">
        <v>2176</v>
      </c>
      <c r="M1" s="15" t="s">
        <v>2177</v>
      </c>
      <c r="N1" s="15" t="s">
        <v>2178</v>
      </c>
      <c r="O1" s="34" t="s">
        <v>1936</v>
      </c>
      <c r="P1" s="34" t="s">
        <v>985</v>
      </c>
      <c r="Q1" s="34" t="s">
        <v>2179</v>
      </c>
      <c r="R1" s="34" t="s">
        <v>2180</v>
      </c>
      <c r="S1" s="34" t="s">
        <v>2181</v>
      </c>
      <c r="T1" s="34" t="s">
        <v>2182</v>
      </c>
      <c r="U1" s="34" t="s">
        <v>2183</v>
      </c>
      <c r="V1" s="34" t="s">
        <v>2184</v>
      </c>
      <c r="W1" s="34" t="s">
        <v>1101</v>
      </c>
      <c r="X1" s="34" t="s">
        <v>1120</v>
      </c>
      <c r="Y1" s="34" t="s">
        <v>1126</v>
      </c>
      <c r="Z1" s="34" t="s">
        <v>2185</v>
      </c>
      <c r="AA1" s="34" t="s">
        <v>2186</v>
      </c>
      <c r="AB1" s="34" t="s">
        <v>2187</v>
      </c>
      <c r="AC1" s="15" t="s">
        <v>996</v>
      </c>
      <c r="AD1" s="15" t="s">
        <v>1692</v>
      </c>
      <c r="AE1" s="15" t="s">
        <v>1085</v>
      </c>
      <c r="AF1" s="15" t="s">
        <v>644</v>
      </c>
      <c r="AG1" s="15" t="s">
        <v>865</v>
      </c>
      <c r="AH1" s="15" t="s">
        <v>388</v>
      </c>
      <c r="AI1" s="15" t="s">
        <v>1178</v>
      </c>
      <c r="AJ1" s="15" t="s">
        <v>2188</v>
      </c>
    </row>
  </sheetData>
  <dataValidations count="10">
    <dataValidation allowBlank="true" error="OK for Manual Selection Mode" errorStyle="information" errorTitle="OK for Manual Selection Mode" operator="between" showDropDown="false" showErrorMessage="true" showInputMessage="true" sqref="AB1" type="none">
      <formula1>0</formula1>
      <formula2>0</formula2>
    </dataValidation>
    <dataValidation allowBlank="true" errorStyle="stop" operator="between" showDropDown="false" showErrorMessage="true" showInputMessage="true" sqref="H2:H1001 M2:M1001" type="list">
      <formula1>Enums!$A$34:$A$35</formula1>
      <formula2>0</formula2>
    </dataValidation>
    <dataValidation allowBlank="true" errorStyle="stop" operator="between" showDropDown="false" showErrorMessage="true" showInputMessage="true" sqref="B2:C1001" type="list">
      <formula1>Enums!$AA$55:$AA$62</formula1>
      <formula2>0</formula2>
    </dataValidation>
    <dataValidation allowBlank="true" errorStyle="stop" operator="between" showDropDown="false" showErrorMessage="true" showInputMessage="true" sqref="O2:O1001" type="list">
      <formula1>Enums!$K$68:$K$69</formula1>
      <formula2>0</formula2>
    </dataValidation>
    <dataValidation allowBlank="true" errorStyle="stop" operator="between" showDropDown="false" showErrorMessage="true" showInputMessage="true" sqref="I2:I1001" type="list">
      <formula1>Enums!$AK$89:$AK$91</formula1>
      <formula2>0</formula2>
    </dataValidation>
    <dataValidation allowBlank="true" errorStyle="stop" operator="between" showDropDown="false" showErrorMessage="true" showInputMessage="true" sqref="W2:W1001" type="list">
      <formula1>Enums!$AK$98:$AK$101</formula1>
      <formula2>0</formula2>
    </dataValidation>
    <dataValidation allowBlank="true" errorStyle="stop" operator="between" showDropDown="false" showErrorMessage="true" showInputMessage="true" sqref="X2:X1001" type="list">
      <formula1>Enums!$AK$104:$AK$105</formula1>
      <formula2>0</formula2>
    </dataValidation>
    <dataValidation allowBlank="true" errorStyle="stop" operator="between" showDropDown="false" showErrorMessage="true" showInputMessage="true" sqref="Y2:Y1001" type="list">
      <formula1>Enums!$AK$108:$AK$110</formula1>
      <formula2>0</formula2>
    </dataValidation>
    <dataValidation allowBlank="true" error="OK for Manual Selection Mode" errorStyle="information" errorTitle="OK for Manual Selection Mode" operator="between" showDropDown="false" showErrorMessage="true" showInputMessage="true" sqref="AB2:AB1001" type="list">
      <formula1>Enums!$I$93:$I$97</formula1>
      <formula2>0</formula2>
    </dataValidation>
    <dataValidation allowBlank="true" errorStyle="stop" operator="between" showDropDown="false" showErrorMessage="true" showInputMessage="true" sqref="P2:P1001" type="list">
      <formula1>Enums!$AK$84:$AK$86</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AC2" activePane="bottomRight" state="frozen"/>
      <selection pane="topLeft" activeCell="A1" activeCellId="0" sqref="A1"/>
      <selection pane="topRight" activeCell="AC1" activeCellId="0" sqref="AC1"/>
      <selection pane="bottomLeft" activeCell="A2" activeCellId="0" sqref="A2"/>
      <selection pane="bottomRight" activeCell="G37" activeCellId="0" sqref="G37"/>
    </sheetView>
  </sheetViews>
  <sheetFormatPr defaultColWidth="9.36328125" defaultRowHeight="15" customHeight="true" zeroHeight="false" outlineLevelRow="0" outlineLevelCol="0"/>
  <cols>
    <col collapsed="false" customWidth="true" hidden="false" outlineLevel="0" max="1" min="1" style="1" width="7.54"/>
    <col collapsed="false" customWidth="false" hidden="false" outlineLevel="0" max="2" min="2" style="1" width="9.36"/>
    <col collapsed="false" customWidth="true" hidden="false" outlineLevel="0" max="3" min="3" style="1" width="20.54"/>
    <col collapsed="false" customWidth="true" hidden="false" outlineLevel="0" max="4" min="4" style="1" width="7"/>
    <col collapsed="false" customWidth="true" hidden="false" outlineLevel="0" max="5" min="5" style="0" width="10.36"/>
    <col collapsed="false" customWidth="true" hidden="false" outlineLevel="0" max="6" min="6" style="1" width="8.36"/>
    <col collapsed="false" customWidth="true" hidden="false" outlineLevel="0" max="7" min="7" style="1" width="37.36"/>
    <col collapsed="false" customWidth="true" hidden="false" outlineLevel="0" max="8" min="8" style="1" width="15.45"/>
    <col collapsed="false" customWidth="true" hidden="false" outlineLevel="0" max="9" min="9" style="1" width="38.45"/>
    <col collapsed="false" customWidth="true" hidden="false" outlineLevel="0" max="10" min="10" style="1" width="14.54"/>
    <col collapsed="false" customWidth="true" hidden="false" outlineLevel="0" max="11" min="11" style="1" width="12"/>
    <col collapsed="false" customWidth="true" hidden="false" outlineLevel="0" max="12" min="12" style="1" width="12.54"/>
    <col collapsed="false" customWidth="true" hidden="false" outlineLevel="0" max="13" min="13" style="1" width="7"/>
    <col collapsed="false" customWidth="true" hidden="false" outlineLevel="0" max="14" min="14" style="1" width="26.45"/>
    <col collapsed="false" customWidth="true" hidden="false" outlineLevel="0" max="15" min="15" style="1" width="35.54"/>
    <col collapsed="false" customWidth="true" hidden="false" outlineLevel="0" max="16" min="16" style="1" width="40"/>
    <col collapsed="false" customWidth="true" hidden="false" outlineLevel="0" max="17" min="17" style="1" width="35"/>
    <col collapsed="false" customWidth="true" hidden="false" outlineLevel="0" max="18" min="18" style="1" width="20.45"/>
    <col collapsed="false" customWidth="true" hidden="false" outlineLevel="0" max="19" min="19" style="1" width="29.45"/>
    <col collapsed="false" customWidth="true" hidden="false" outlineLevel="0" max="20" min="20" style="1" width="16.63"/>
    <col collapsed="false" customWidth="true" hidden="false" outlineLevel="0" max="21" min="21" style="1" width="10.45"/>
    <col collapsed="false" customWidth="true" hidden="false" outlineLevel="0" max="22" min="22" style="1" width="14.54"/>
    <col collapsed="false" customWidth="true" hidden="false" outlineLevel="0" max="23" min="23" style="1" width="27.54"/>
    <col collapsed="false" customWidth="true" hidden="false" outlineLevel="0" max="24" min="24" style="1" width="23.45"/>
    <col collapsed="false" customWidth="true" hidden="false" outlineLevel="0" max="25" min="25" style="1" width="23.36"/>
    <col collapsed="false" customWidth="true" hidden="false" outlineLevel="0" max="26" min="26" style="1" width="25.63"/>
    <col collapsed="false" customWidth="true" hidden="false" outlineLevel="0" max="27" min="27" style="1" width="21.54"/>
    <col collapsed="false" customWidth="true" hidden="false" outlineLevel="0" max="28" min="28" style="1" width="21.45"/>
    <col collapsed="false" customWidth="true" hidden="false" outlineLevel="0" max="29" min="29" style="1" width="30.54"/>
    <col collapsed="false" customWidth="true" hidden="false" outlineLevel="0" max="30" min="30" style="1" width="19.54"/>
    <col collapsed="false" customWidth="true" hidden="false" outlineLevel="0" max="31" min="31" style="1" width="37.45"/>
    <col collapsed="false" customWidth="true" hidden="false" outlineLevel="0" max="32" min="32" style="1" width="36"/>
    <col collapsed="false" customWidth="true" hidden="false" outlineLevel="0" max="33" min="33" style="1" width="28.54"/>
    <col collapsed="false" customWidth="true" hidden="false" outlineLevel="0" max="34" min="34" style="1" width="26.45"/>
    <col collapsed="false" customWidth="true" hidden="false" outlineLevel="0" max="35" min="35" style="1" width="15.45"/>
    <col collapsed="false" customWidth="true" hidden="false" outlineLevel="0" max="36" min="36" style="1" width="9.45"/>
    <col collapsed="false" customWidth="true" hidden="false" outlineLevel="0" max="37" min="37" style="0" width="5.45"/>
    <col collapsed="false" customWidth="true" hidden="false" outlineLevel="0" max="38" min="38" style="1" width="7"/>
    <col collapsed="false" customWidth="true" hidden="false" outlineLevel="0" max="39" min="39" style="1" width="14.54"/>
    <col collapsed="false" customWidth="true" hidden="false" outlineLevel="0" max="40" min="40" style="1" width="9.63"/>
    <col collapsed="false" customWidth="false" hidden="false" outlineLevel="0" max="16384" min="41" style="1" width="9.36"/>
  </cols>
  <sheetData>
    <row r="1" s="2" customFormat="true" ht="15" hidden="false" customHeight="true" outlineLevel="0" collapsed="false">
      <c r="A1" s="15" t="s">
        <v>1011</v>
      </c>
      <c r="B1" s="15" t="s">
        <v>532</v>
      </c>
      <c r="C1" s="36" t="s">
        <v>1273</v>
      </c>
      <c r="D1" s="15" t="s">
        <v>974</v>
      </c>
      <c r="E1" s="15" t="s">
        <v>993</v>
      </c>
      <c r="F1" s="15" t="s">
        <v>954</v>
      </c>
      <c r="G1" s="15" t="s">
        <v>2189</v>
      </c>
      <c r="H1" s="15" t="s">
        <v>2190</v>
      </c>
      <c r="I1" s="15" t="s">
        <v>2191</v>
      </c>
      <c r="J1" s="15" t="s">
        <v>1458</v>
      </c>
      <c r="K1" s="15" t="s">
        <v>2170</v>
      </c>
      <c r="L1" s="15" t="s">
        <v>2171</v>
      </c>
      <c r="M1" s="97" t="s">
        <v>1683</v>
      </c>
      <c r="N1" s="15" t="s">
        <v>2172</v>
      </c>
      <c r="O1" s="15" t="s">
        <v>2173</v>
      </c>
      <c r="P1" s="15" t="s">
        <v>2174</v>
      </c>
      <c r="Q1" s="15" t="s">
        <v>2175</v>
      </c>
      <c r="R1" s="15" t="s">
        <v>2176</v>
      </c>
      <c r="S1" s="15" t="s">
        <v>2177</v>
      </c>
      <c r="T1" s="15" t="s">
        <v>2178</v>
      </c>
      <c r="U1" s="15" t="s">
        <v>425</v>
      </c>
      <c r="V1" s="15" t="s">
        <v>985</v>
      </c>
      <c r="W1" s="15" t="s">
        <v>2179</v>
      </c>
      <c r="X1" s="15" t="s">
        <v>2180</v>
      </c>
      <c r="Y1" s="15" t="s">
        <v>2181</v>
      </c>
      <c r="Z1" s="15" t="s">
        <v>2182</v>
      </c>
      <c r="AA1" s="15" t="s">
        <v>2183</v>
      </c>
      <c r="AB1" s="15" t="s">
        <v>2184</v>
      </c>
      <c r="AC1" s="15" t="s">
        <v>1101</v>
      </c>
      <c r="AD1" s="15" t="s">
        <v>1120</v>
      </c>
      <c r="AE1" s="15" t="s">
        <v>1126</v>
      </c>
      <c r="AF1" s="15" t="s">
        <v>2185</v>
      </c>
      <c r="AG1" s="15" t="s">
        <v>2186</v>
      </c>
      <c r="AH1" s="15" t="s">
        <v>2187</v>
      </c>
      <c r="AI1" s="15" t="s">
        <v>1692</v>
      </c>
      <c r="AJ1" s="15" t="s">
        <v>1085</v>
      </c>
      <c r="AK1" s="15" t="s">
        <v>996</v>
      </c>
      <c r="AL1" s="15" t="s">
        <v>948</v>
      </c>
      <c r="AM1" s="15" t="s">
        <v>1178</v>
      </c>
      <c r="AN1" s="15" t="s">
        <v>2188</v>
      </c>
    </row>
  </sheetData>
  <dataValidations count="13">
    <dataValidation allowBlank="true" error="OK for Manual Selection Mode" errorStyle="information" errorTitle="OK for Manual Selection Mode" operator="between" showDropDown="false" showErrorMessage="true" showInputMessage="true" sqref="AH1" type="none">
      <formula1>0</formula1>
      <formula2>0</formula2>
    </dataValidation>
    <dataValidation allowBlank="true" errorStyle="stop" operator="between" showDropDown="false" showErrorMessage="true" showInputMessage="true" sqref="AE1:AE1001" type="list">
      <formula1>Enums!$AK$108:$AK$111</formula1>
      <formula2>0</formula2>
    </dataValidation>
    <dataValidation allowBlank="true" errorStyle="stop" operator="between" showDropDown="false" showErrorMessage="true" showInputMessage="true" sqref="E2:E1001" type="list">
      <formula1>Enums!$AA$85:$AA$86</formula1>
      <formula2>0</formula2>
    </dataValidation>
    <dataValidation allowBlank="true" errorStyle="stop" operator="between" showDropDown="false" showErrorMessage="true" showInputMessage="true" sqref="F2:F1001" type="list">
      <formula1>Enums!$AA$81:$AA$82</formula1>
      <formula2>0</formula2>
    </dataValidation>
    <dataValidation allowBlank="true" errorStyle="stop" operator="between" showDropDown="false" showErrorMessage="true" showInputMessage="true" sqref="D2:D1001" type="list">
      <formula1>Enums!$AC$83</formula1>
      <formula2>0</formula2>
    </dataValidation>
    <dataValidation allowBlank="true" errorStyle="stop" operator="between" showDropDown="false" showErrorMessage="true" showInputMessage="true" sqref="N2:N1001 S2:S1001" type="list">
      <formula1>Enums!$A$34:$A$35</formula1>
      <formula2>0</formula2>
    </dataValidation>
    <dataValidation allowBlank="true" errorStyle="stop" operator="between" showDropDown="false" showErrorMessage="true" showInputMessage="true" sqref="C2:C1001" type="list">
      <formula1>Enums!$AA$65:$AA$78</formula1>
      <formula2>0</formula2>
    </dataValidation>
    <dataValidation allowBlank="true" errorStyle="stop" operator="between" showDropDown="false" showErrorMessage="true" showInputMessage="true" sqref="O2:O1001" type="list">
      <formula1>Enums!$AK$89:$AK$91</formula1>
      <formula2>0</formula2>
    </dataValidation>
    <dataValidation allowBlank="true" errorStyle="stop" operator="between" showDropDown="false" showErrorMessage="true" showInputMessage="true" sqref="U2:U1001" type="list">
      <formula1>Enums!$AK$132:$AK$133</formula1>
      <formula2>0</formula2>
    </dataValidation>
    <dataValidation allowBlank="true" error="OK for Manual Selection Mode" errorStyle="information" errorTitle="OK for Manual Selection Mode" operator="between" showDropDown="false" showErrorMessage="true" showInputMessage="true" sqref="AH2:AH1001" type="list">
      <formula1>Enums!$I$93:$I$97</formula1>
      <formula2>0</formula2>
    </dataValidation>
    <dataValidation allowBlank="true" errorStyle="stop" operator="between" showDropDown="false" showErrorMessage="true" showInputMessage="true" sqref="AD2:AD1001" type="list">
      <formula1>Enums!$AK$104:$AK$105</formula1>
      <formula2>0</formula2>
    </dataValidation>
    <dataValidation allowBlank="true" errorStyle="stop" operator="between" showDropDown="false" showErrorMessage="true" showInputMessage="true" sqref="AC2:AC1001" type="list">
      <formula1>Enums!$AK$98:$AK$101</formula1>
      <formula2>0</formula2>
    </dataValidation>
    <dataValidation allowBlank="true" errorStyle="stop" operator="between" showDropDown="false" showErrorMessage="true" showInputMessage="true" sqref="V2:V1001" type="list">
      <formula1>Enums!$AK$94:$AK$95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1" ySplit="1" topLeftCell="F2" activePane="bottomRight" state="frozen"/>
      <selection pane="topLeft" activeCell="A1" activeCellId="0" sqref="A1"/>
      <selection pane="topRight" activeCell="F1" activeCellId="0" sqref="F1"/>
      <selection pane="bottomLeft" activeCell="A2" activeCellId="0" sqref="A2"/>
      <selection pane="bottomRight" activeCell="G37" activeCellId="0" sqref="G37"/>
    </sheetView>
  </sheetViews>
  <sheetFormatPr defaultColWidth="9.453125" defaultRowHeight="15" customHeight="true" zeroHeight="false" outlineLevelRow="0" outlineLevelCol="0"/>
  <cols>
    <col collapsed="false" customWidth="true" hidden="false" outlineLevel="0" max="1" min="1" style="1" width="8.54"/>
    <col collapsed="false" customWidth="true" hidden="false" outlineLevel="0" max="2" min="2" style="1" width="11.36"/>
    <col collapsed="false" customWidth="true" hidden="false" outlineLevel="0" max="3" min="3" style="1" width="10.54"/>
    <col collapsed="false" customWidth="false" hidden="false" outlineLevel="0" max="4" min="4" style="1" width="9.45"/>
    <col collapsed="false" customWidth="true" hidden="false" outlineLevel="0" max="5" min="5" style="1" width="9.54"/>
    <col collapsed="false" customWidth="true" hidden="false" outlineLevel="0" max="6" min="6" style="1" width="13.54"/>
    <col collapsed="false" customWidth="true" hidden="false" outlineLevel="0" max="7" min="7" style="1" width="15.45"/>
    <col collapsed="false" customWidth="true" hidden="false" outlineLevel="0" max="8" min="8" style="1" width="14.45"/>
    <col collapsed="false" customWidth="true" hidden="false" outlineLevel="0" max="9" min="9" style="1" width="14.54"/>
    <col collapsed="false" customWidth="true" hidden="false" outlineLevel="0" max="10" min="10" style="1" width="18.63"/>
    <col collapsed="false" customWidth="true" hidden="false" outlineLevel="0" max="11" min="11" style="1" width="20.54"/>
    <col collapsed="false" customWidth="true" hidden="false" outlineLevel="0" max="12" min="12" style="1" width="10.63"/>
    <col collapsed="false" customWidth="true" hidden="false" outlineLevel="0" max="13" min="13" style="1" width="11.36"/>
    <col collapsed="false" customWidth="true" hidden="false" outlineLevel="0" max="14" min="14" style="1" width="15.45"/>
    <col collapsed="false" customWidth="true" hidden="false" outlineLevel="0" max="15" min="15" style="1" width="17"/>
    <col collapsed="false" customWidth="true" hidden="false" outlineLevel="0" max="16" min="16" style="1" width="20"/>
    <col collapsed="false" customWidth="true" hidden="false" outlineLevel="0" max="17" min="17" style="1" width="19"/>
    <col collapsed="false" customWidth="false" hidden="false" outlineLevel="0" max="16384" min="18" style="1" width="9.45"/>
  </cols>
  <sheetData>
    <row r="1" s="30" customFormat="true" ht="15" hidden="false" customHeight="true" outlineLevel="0" collapsed="false">
      <c r="A1" s="15" t="s">
        <v>1011</v>
      </c>
      <c r="B1" s="15" t="s">
        <v>2</v>
      </c>
      <c r="C1" s="15" t="s">
        <v>1251</v>
      </c>
      <c r="D1" s="15" t="s">
        <v>2192</v>
      </c>
      <c r="E1" s="15" t="s">
        <v>2193</v>
      </c>
      <c r="F1" s="15" t="s">
        <v>2194</v>
      </c>
      <c r="G1" s="15" t="s">
        <v>2195</v>
      </c>
      <c r="H1" s="15" t="s">
        <v>2196</v>
      </c>
      <c r="I1" s="15" t="s">
        <v>2197</v>
      </c>
      <c r="J1" s="15" t="s">
        <v>2198</v>
      </c>
      <c r="K1" s="15" t="s">
        <v>2199</v>
      </c>
      <c r="L1" s="15" t="s">
        <v>2200</v>
      </c>
      <c r="M1" s="15" t="s">
        <v>2201</v>
      </c>
      <c r="N1" s="15" t="s">
        <v>2202</v>
      </c>
      <c r="O1" s="15" t="s">
        <v>2203</v>
      </c>
      <c r="P1" s="15" t="s">
        <v>2204</v>
      </c>
      <c r="Q1" s="15" t="s">
        <v>2205</v>
      </c>
    </row>
  </sheetData>
  <dataValidations count="2">
    <dataValidation allowBlank="true" errorStyle="stop" operator="between" showDropDown="false" showErrorMessage="true" showInputMessage="true" sqref="Q2:Q1001" type="list">
      <formula1>Enums!$A$34:$A$35</formula1>
      <formula2>0</formula2>
    </dataValidation>
    <dataValidation allowBlank="true" errorStyle="stop" operator="between" showDropDown="false" showErrorMessage="true" showInputMessage="true" sqref="P2:P1001" type="list">
      <formula1>Enums!$AK$61:$AK$64</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42" activeCellId="0" sqref="M42"/>
    </sheetView>
  </sheetViews>
  <sheetFormatPr defaultColWidth="9.36328125" defaultRowHeight="15" customHeight="true" zeroHeight="false" outlineLevelRow="0" outlineLevelCol="0"/>
  <cols>
    <col collapsed="false" customWidth="true" hidden="false" outlineLevel="0" max="1" min="1" style="1" width="14.54"/>
    <col collapsed="false" customWidth="true" hidden="false" outlineLevel="0" max="2" min="2" style="1" width="16.45"/>
    <col collapsed="false" customWidth="true" hidden="false" outlineLevel="0" max="3" min="3" style="1" width="15.54"/>
    <col collapsed="false" customWidth="true" hidden="false" outlineLevel="0" max="4" min="4" style="1" width="9.45"/>
    <col collapsed="false" customWidth="true" hidden="false" outlineLevel="0" max="5" min="5" style="1" width="10.54"/>
    <col collapsed="false" customWidth="true" hidden="false" outlineLevel="0" max="6" min="6" style="1" width="21.63"/>
    <col collapsed="false" customWidth="true" hidden="false" outlineLevel="0" max="7" min="7" style="1" width="17.45"/>
    <col collapsed="false" customWidth="true" hidden="false" outlineLevel="0" max="8" min="8" style="1" width="24.54"/>
    <col collapsed="false" customWidth="false" hidden="false" outlineLevel="0" max="16384" min="9" style="1" width="9.36"/>
  </cols>
  <sheetData>
    <row r="1" s="30" customFormat="true" ht="15" hidden="false" customHeight="true" outlineLevel="0" collapsed="false">
      <c r="A1" s="15" t="s">
        <v>2206</v>
      </c>
      <c r="B1" s="15" t="s">
        <v>532</v>
      </c>
      <c r="C1" s="15" t="s">
        <v>1159</v>
      </c>
      <c r="D1" s="15" t="s">
        <v>942</v>
      </c>
      <c r="E1" s="15" t="s">
        <v>991</v>
      </c>
      <c r="F1" s="15" t="s">
        <v>2207</v>
      </c>
      <c r="G1" s="15" t="s">
        <v>1026</v>
      </c>
      <c r="H1" s="15" t="s">
        <v>2208</v>
      </c>
    </row>
  </sheetData>
  <dataValidations count="3">
    <dataValidation allowBlank="true" errorStyle="stop" operator="between" showDropDown="false" showErrorMessage="true" showInputMessage="true" sqref="D2:D1001" type="list">
      <formula1>Enums!$W$80:$W$82</formula1>
      <formula2>0</formula2>
    </dataValidation>
    <dataValidation allowBlank="true" errorStyle="stop" operator="between" showDropDown="false" showErrorMessage="true" showInputMessage="true" sqref="E2:E1001" type="list">
      <formula1>Enums!$AI$120:$AI$122</formula1>
      <formula2>0</formula2>
    </dataValidation>
    <dataValidation allowBlank="true" errorStyle="stop" operator="between" showDropDown="false" showErrorMessage="true" showInputMessage="true" sqref="C2:C1001" type="list">
      <formula1>Enums!$AK$128:$AK$129</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N2" activePane="bottomRight" state="frozen"/>
      <selection pane="topLeft" activeCell="A1" activeCellId="0" sqref="A1"/>
      <selection pane="topRight" activeCell="N1" activeCellId="0" sqref="N1"/>
      <selection pane="bottomLeft" activeCell="A2" activeCellId="0" sqref="A2"/>
      <selection pane="bottomRight" activeCell="M42" activeCellId="0" sqref="M4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8.54"/>
    <col collapsed="false" customWidth="true" hidden="false" outlineLevel="0" max="3" min="3" style="1" width="11.36"/>
    <col collapsed="false" customWidth="true" hidden="false" outlineLevel="0" max="4" min="4" style="1" width="5.45"/>
    <col collapsed="false" customWidth="true" hidden="false" outlineLevel="0" max="5" min="5" style="1" width="10.54"/>
    <col collapsed="false" customWidth="true" hidden="false" outlineLevel="0" max="6" min="6" style="1" width="11"/>
    <col collapsed="false" customWidth="true" hidden="false" outlineLevel="0" max="7" min="7" style="1" width="8.45"/>
    <col collapsed="false" customWidth="true" hidden="false" outlineLevel="0" max="8" min="8" style="1" width="5.45"/>
    <col collapsed="false" customWidth="true" hidden="false" outlineLevel="0" max="9" min="9" style="1" width="7.63"/>
    <col collapsed="false" customWidth="true" hidden="false" outlineLevel="0" max="10" min="10" style="1" width="13.54"/>
    <col collapsed="false" customWidth="true" hidden="false" outlineLevel="0" max="11" min="11" style="1" width="5.45"/>
    <col collapsed="false" customWidth="true" hidden="false" outlineLevel="0" max="12" min="12" style="1" width="23.36"/>
    <col collapsed="false" customWidth="true" hidden="false" outlineLevel="0" max="13" min="13" style="1" width="21.45"/>
    <col collapsed="false" customWidth="true" hidden="false" outlineLevel="0" max="14" min="14" style="1" width="21.54"/>
    <col collapsed="false" customWidth="true" hidden="false" outlineLevel="0" max="15" min="15" style="1" width="6.45"/>
    <col collapsed="false" customWidth="true" hidden="false" outlineLevel="0" max="16" min="16" style="1" width="26.54"/>
    <col collapsed="false" customWidth="true" hidden="false" outlineLevel="0" max="17" min="17" style="1" width="26"/>
    <col collapsed="false" customWidth="true" hidden="false" outlineLevel="0" max="18" min="18" style="1" width="16.54"/>
    <col collapsed="false" customWidth="true" hidden="false" outlineLevel="0" max="19" min="19" style="1" width="15.63"/>
    <col collapsed="false" customWidth="true" hidden="false" outlineLevel="0" max="20" min="20" style="1" width="20.54"/>
    <col collapsed="false" customWidth="true" hidden="false" outlineLevel="0" max="21" min="21" style="1" width="11.54"/>
    <col collapsed="false" customWidth="true" hidden="false" outlineLevel="0" max="22" min="22" style="1" width="10.36"/>
    <col collapsed="false" customWidth="true" hidden="false" outlineLevel="0" max="23" min="23" style="1" width="21"/>
    <col collapsed="false" customWidth="true" hidden="false" outlineLevel="0" max="24" min="24" style="1" width="19.63"/>
    <col collapsed="false" customWidth="true" hidden="false" outlineLevel="0" max="25" min="25" style="1" width="20.54"/>
    <col collapsed="false" customWidth="true" hidden="false" outlineLevel="0" max="26" min="26" style="1" width="18.54"/>
    <col collapsed="false" customWidth="false" hidden="false" outlineLevel="0" max="16384" min="27" style="1" width="9.36"/>
  </cols>
  <sheetData>
    <row r="1" s="2" customFormat="true" ht="15" hidden="false" customHeight="true" outlineLevel="0" collapsed="false">
      <c r="A1" s="15" t="s">
        <v>1011</v>
      </c>
      <c r="B1" s="15" t="s">
        <v>1294</v>
      </c>
      <c r="C1" s="15" t="s">
        <v>2</v>
      </c>
      <c r="D1" s="15" t="s">
        <v>489</v>
      </c>
      <c r="E1" s="15" t="s">
        <v>1251</v>
      </c>
      <c r="F1" s="15" t="s">
        <v>1300</v>
      </c>
      <c r="G1" s="15" t="s">
        <v>2209</v>
      </c>
      <c r="H1" s="15" t="s">
        <v>1683</v>
      </c>
      <c r="I1" s="15" t="s">
        <v>644</v>
      </c>
      <c r="J1" s="15" t="s">
        <v>865</v>
      </c>
      <c r="K1" s="15" t="s">
        <v>996</v>
      </c>
      <c r="L1" s="15" t="s">
        <v>2210</v>
      </c>
      <c r="M1" s="15" t="s">
        <v>2211</v>
      </c>
      <c r="N1" s="15" t="s">
        <v>2212</v>
      </c>
      <c r="O1" s="15" t="s">
        <v>911</v>
      </c>
      <c r="P1" s="15" t="s">
        <v>2213</v>
      </c>
      <c r="Q1" s="15" t="s">
        <v>2214</v>
      </c>
      <c r="R1" s="15" t="s">
        <v>2149</v>
      </c>
      <c r="S1" s="15" t="s">
        <v>2150</v>
      </c>
      <c r="T1" s="15" t="s">
        <v>2215</v>
      </c>
      <c r="U1" s="15" t="s">
        <v>2216</v>
      </c>
      <c r="V1" s="15" t="s">
        <v>2217</v>
      </c>
      <c r="W1" s="41" t="s">
        <v>2218</v>
      </c>
      <c r="X1" s="15" t="s">
        <v>2219</v>
      </c>
      <c r="Y1" s="15" t="s">
        <v>2220</v>
      </c>
      <c r="Z1" s="15" t="s">
        <v>2221</v>
      </c>
    </row>
  </sheetData>
  <dataValidations count="5">
    <dataValidation allowBlank="true" errorStyle="stop" operator="greaterThanOrEqual" showDropDown="false" showErrorMessage="true" showInputMessage="true" sqref="B1" type="none">
      <formula1>0</formula1>
      <formula2>0</formula2>
    </dataValidation>
    <dataValidation allowBlank="true" error="Whole Numbers Only" errorStyle="stop" operator="greaterThanOrEqual" showDropDown="false" showErrorMessage="true" showInputMessage="true" sqref="M2 L3:M3 L4 L6:L7 L8:M8 L9:L1001" type="whole">
      <formula1>1</formula1>
      <formula2>0</formula2>
    </dataValidation>
    <dataValidation allowBlank="true" error="Whole Numbers Only" errorStyle="stop" operator="greaterThanOrEqual" showDropDown="false" showErrorMessage="true" showInputMessage="true" sqref="Q2:Q3 P4 P6:P7 Q8 P9:P1001" type="whole">
      <formula1>0</formula1>
      <formula2>0</formula2>
    </dataValidation>
    <dataValidation allowBlank="true" errorStyle="stop" operator="between" showDropDown="false" showErrorMessage="true" showInputMessage="true" sqref="P2 O3:P3 O4 O6:O7 O8:P8 O9:O1001" type="list">
      <formula1>Enums!$W$76:$W$77</formula1>
      <formula2>0</formula2>
    </dataValidation>
    <dataValidation allowBlank="true" errorStyle="stop" operator="between" showDropDown="false" showErrorMessage="true" showInputMessage="true" sqref="U2:W2 T3:W3 T4:V4 T6:V7 T8:W8 T9:V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42" activeCellId="0" sqref="M42"/>
    </sheetView>
  </sheetViews>
  <sheetFormatPr defaultColWidth="8.6796875" defaultRowHeight="15" customHeight="true" zeroHeight="false" outlineLevelRow="0" outlineLevelCol="0"/>
  <cols>
    <col collapsed="false" customWidth="true" hidden="false" outlineLevel="0" max="1" min="1" style="0" width="20.54"/>
    <col collapsed="false" customWidth="true" hidden="false" outlineLevel="0" max="2" min="2" style="0" width="29.36"/>
    <col collapsed="false" customWidth="true" hidden="false" outlineLevel="0" max="3" min="3" style="0" width="20.54"/>
    <col collapsed="false" customWidth="true" hidden="false" outlineLevel="0" max="4" min="4" style="0" width="11.54"/>
    <col collapsed="false" customWidth="true" hidden="false" outlineLevel="0" max="5" min="5" style="0" width="12.54"/>
    <col collapsed="false" customWidth="true" hidden="false" outlineLevel="0" max="6" min="6" style="0" width="9.45"/>
    <col collapsed="false" customWidth="true" hidden="false" outlineLevel="0" max="7" min="7" style="0" width="10.45"/>
    <col collapsed="false" customWidth="true" hidden="false" outlineLevel="0" max="8" min="8" style="0" width="15.45"/>
    <col collapsed="false" customWidth="true" hidden="false" outlineLevel="0" max="9" min="9" style="0" width="11.45"/>
    <col collapsed="false" customWidth="true" hidden="false" outlineLevel="0" max="10" min="10" style="0" width="54"/>
  </cols>
  <sheetData>
    <row r="1" s="42" customFormat="true" ht="15.75" hidden="false" customHeight="true" outlineLevel="0" collapsed="false">
      <c r="A1" s="15" t="s">
        <v>2222</v>
      </c>
      <c r="B1" s="15" t="s">
        <v>2223</v>
      </c>
      <c r="C1" s="15" t="s">
        <v>2215</v>
      </c>
      <c r="D1" s="15" t="s">
        <v>2216</v>
      </c>
      <c r="E1" s="15" t="s">
        <v>752</v>
      </c>
      <c r="F1" s="15" t="s">
        <v>942</v>
      </c>
      <c r="G1" s="15" t="s">
        <v>991</v>
      </c>
      <c r="H1" s="15" t="s">
        <v>2202</v>
      </c>
      <c r="I1" s="15" t="s">
        <v>1030</v>
      </c>
      <c r="J1" s="41" t="s">
        <v>2224</v>
      </c>
    </row>
  </sheetData>
  <dataValidations count="4">
    <dataValidation allowBlank="true" errorStyle="stop" operator="between" showDropDown="false" showErrorMessage="true" showInputMessage="true" sqref="C2:D20 C22:D22 C30:D30 C32:D32 C34:D1001" type="list">
      <formula1>Enums!$A$34:$A$35</formula1>
      <formula2>0</formula2>
    </dataValidation>
    <dataValidation allowBlank="true" errorStyle="stop" operator="between" showDropDown="false" showErrorMessage="true" showInputMessage="true" sqref="F2:F20 F22 F30 F32 F34:F1001" type="list">
      <formula1>Enums!$W$80:$W$82</formula1>
      <formula2>0</formula2>
    </dataValidation>
    <dataValidation allowBlank="true" errorStyle="stop" operator="between" showDropDown="false" showErrorMessage="true" showInputMessage="true" sqref="G2:G20 G22 G30 G32 G34:G1001" type="list">
      <formula1>Enums!$W$85:$W$87</formula1>
      <formula2>0</formula2>
    </dataValidation>
    <dataValidation allowBlank="true" errorStyle="stop" operator="between" showDropDown="false" showErrorMessage="true" showInputMessage="true" sqref="I2:I20 I22 I30 I32 I34:I1001" type="list">
      <formula1>Enums!$W$90:$W$91</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42" activeCellId="0" sqref="M42"/>
    </sheetView>
  </sheetViews>
  <sheetFormatPr defaultColWidth="9.36328125" defaultRowHeight="15" customHeight="true" zeroHeight="false" outlineLevelRow="0" outlineLevelCol="0"/>
  <cols>
    <col collapsed="false" customWidth="true" hidden="false" outlineLevel="0" max="1" min="1" style="1" width="8.45"/>
    <col collapsed="false" customWidth="true" hidden="false" outlineLevel="0" max="2" min="2" style="1" width="5.45"/>
    <col collapsed="false" customWidth="true" hidden="false" outlineLevel="0" max="4" min="3" style="1" width="16.36"/>
    <col collapsed="false" customWidth="true" hidden="false" outlineLevel="0" max="5" min="5" style="1" width="19.54"/>
    <col collapsed="false" customWidth="true" hidden="false" outlineLevel="0" max="6" min="6" style="1" width="11.63"/>
    <col collapsed="false" customWidth="false" hidden="false" outlineLevel="0" max="16384" min="7" style="1" width="9.36"/>
  </cols>
  <sheetData>
    <row r="1" customFormat="false" ht="15" hidden="false" customHeight="true" outlineLevel="0" collapsed="false">
      <c r="A1" s="15" t="s">
        <v>1435</v>
      </c>
      <c r="B1" s="15" t="s">
        <v>1280</v>
      </c>
      <c r="C1" s="15" t="s">
        <v>1370</v>
      </c>
      <c r="D1" s="15" t="s">
        <v>1371</v>
      </c>
      <c r="E1" s="15" t="s">
        <v>2225</v>
      </c>
      <c r="F1" s="15" t="s">
        <v>2226</v>
      </c>
    </row>
  </sheetData>
  <dataValidations count="3">
    <dataValidation allowBlank="true" error="Whole numbers Only. &gt;=1" errorStyle="stop" operator="greaterThanOrEqual" showDropDown="false" showErrorMessage="true" showInputMessage="true" sqref="B2:B1001" type="whole">
      <formula1>1</formula1>
      <formula2>0</formula2>
    </dataValidation>
    <dataValidation allowBlank="true" error="Whole numbers Only. &gt;=0" errorStyle="stop" operator="greaterThanOrEqual" showDropDown="false" showErrorMessage="true" showInputMessage="true" sqref="F2:F1001" type="whole">
      <formula1>0</formula1>
      <formula2>0</formula2>
    </dataValidation>
    <dataValidation allowBlank="true" errorStyle="stop" operator="between" showDropDown="false" showErrorMessage="true" showInputMessage="true" sqref="E2:E1001" type="list">
      <formula1>Enums!$I$67:$I$68</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42" activeCellId="0" sqref="M4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5.45"/>
    <col collapsed="false" customWidth="true" hidden="false" outlineLevel="0" max="4" min="4" style="1" width="10.54"/>
    <col collapsed="false" customWidth="true" hidden="false" outlineLevel="0" max="5" min="5" style="1" width="10.63"/>
    <col collapsed="false" customWidth="true" hidden="false" outlineLevel="0" max="6" min="6" style="1" width="5"/>
    <col collapsed="false" customWidth="true" hidden="false" outlineLevel="0" max="7" min="7" style="1" width="7.36"/>
    <col collapsed="false" customWidth="true" hidden="false" outlineLevel="0" max="8" min="8" style="1" width="8.45"/>
    <col collapsed="false" customWidth="true" hidden="false" outlineLevel="0" max="9" min="9" style="1" width="15.63"/>
    <col collapsed="false" customWidth="true" hidden="false" outlineLevel="0" max="10" min="10" style="1" width="20.45"/>
    <col collapsed="false" customWidth="true" hidden="false" outlineLevel="0" max="11" min="11" style="1" width="15.45"/>
    <col collapsed="false" customWidth="true" hidden="false" outlineLevel="0" max="12" min="12" style="1" width="25.54"/>
    <col collapsed="false" customWidth="true" hidden="false" outlineLevel="0" max="13" min="13" style="1" width="19.54"/>
    <col collapsed="false" customWidth="true" hidden="false" outlineLevel="0" max="14" min="14" style="1" width="13.54"/>
    <col collapsed="false" customWidth="true" hidden="false" outlineLevel="0" max="15" min="15" style="1" width="7.45"/>
    <col collapsed="false" customWidth="true" hidden="false" outlineLevel="0" max="16" min="16" style="1" width="5.45"/>
    <col collapsed="false" customWidth="true" hidden="false" outlineLevel="0" max="18" min="18" style="1" width="5"/>
    <col collapsed="false" customWidth="true" hidden="false" outlineLevel="0" max="19" min="19" style="1" width="8.54"/>
    <col collapsed="false" customWidth="true" hidden="false" outlineLevel="0" max="20" min="20" style="1" width="15.36"/>
    <col collapsed="false" customWidth="true" hidden="false" outlineLevel="0" max="21" min="21" style="63" width="7.54"/>
    <col collapsed="false" customWidth="true" hidden="false" outlineLevel="0" max="22" min="22" style="1" width="18.45"/>
    <col collapsed="false" customWidth="true" hidden="false" outlineLevel="0" max="23" min="23" style="1" width="6.45"/>
    <col collapsed="false" customWidth="true" hidden="false" outlineLevel="0" max="24" min="24" style="1" width="31"/>
    <col collapsed="false" customWidth="false" hidden="false" outlineLevel="0" max="16384" min="25" style="1" width="9.36"/>
  </cols>
  <sheetData>
    <row r="1" s="2" customFormat="true" ht="15" hidden="false" customHeight="true" outlineLevel="0" collapsed="false">
      <c r="A1" s="15" t="s">
        <v>1011</v>
      </c>
      <c r="B1" s="15" t="s">
        <v>2</v>
      </c>
      <c r="C1" s="15" t="s">
        <v>489</v>
      </c>
      <c r="D1" s="15" t="s">
        <v>1251</v>
      </c>
      <c r="E1" s="15" t="s">
        <v>1506</v>
      </c>
      <c r="F1" s="15" t="s">
        <v>2227</v>
      </c>
      <c r="G1" s="15" t="s">
        <v>2228</v>
      </c>
      <c r="H1" s="15" t="s">
        <v>1435</v>
      </c>
      <c r="I1" s="15" t="s">
        <v>1028</v>
      </c>
      <c r="J1" s="15" t="s">
        <v>2229</v>
      </c>
      <c r="K1" s="15" t="s">
        <v>2230</v>
      </c>
      <c r="L1" s="15" t="s">
        <v>2231</v>
      </c>
      <c r="M1" s="15" t="s">
        <v>2232</v>
      </c>
      <c r="N1" s="15" t="s">
        <v>2233</v>
      </c>
      <c r="O1" s="15" t="s">
        <v>922</v>
      </c>
      <c r="P1" s="15" t="s">
        <v>490</v>
      </c>
      <c r="Q1" s="15" t="s">
        <v>386</v>
      </c>
      <c r="R1" s="15" t="s">
        <v>948</v>
      </c>
      <c r="S1" s="15" t="s">
        <v>532</v>
      </c>
      <c r="T1" s="15" t="s">
        <v>2234</v>
      </c>
      <c r="U1" s="15" t="s">
        <v>1456</v>
      </c>
      <c r="V1" s="15" t="s">
        <v>1313</v>
      </c>
      <c r="W1" s="15" t="s">
        <v>768</v>
      </c>
    </row>
  </sheetData>
  <dataValidations count="6">
    <dataValidation allowBlank="true" errorStyle="stop" operator="greaterThanOrEqual" showDropDown="false" showErrorMessage="true" showInputMessage="true" sqref="E1" type="none">
      <formula1>0</formula1>
      <formula2>0</formula2>
    </dataValidation>
    <dataValidation allowBlank="true" errorStyle="stop" operator="between" showDropDown="false" showErrorMessage="true" showInputMessage="true" sqref="T2:T100 U101:U1001" type="list">
      <formula1>Enums!$I$83:$I$85</formula1>
      <formula2>0</formula2>
    </dataValidation>
    <dataValidation allowBlank="true" errorStyle="stop" operator="between" showDropDown="false" showErrorMessage="true" showInputMessage="true" sqref="I2:I1001" type="list">
      <formula1>Enums!$I$71:$I$73</formula1>
      <formula2>0</formula2>
    </dataValidation>
    <dataValidation allowBlank="true" errorStyle="stop" operator="between" showDropDown="false" showErrorMessage="true" showInputMessage="true" sqref="L2:L1001" type="list">
      <formula1>Enums!$A$34:$A$35</formula1>
      <formula2>0</formula2>
    </dataValidation>
    <dataValidation allowBlank="true" errorStyle="stop" operator="between" showDropDown="false" showErrorMessage="true" showInputMessage="true" sqref="N2:N1001" type="list">
      <formula1>Enums!$I$76:$I$80</formula1>
      <formula2>0</formula2>
    </dataValidation>
    <dataValidation allowBlank="true" errorStyle="stop" operator="greaterThanOrEqual" showDropDown="false" showErrorMessage="true" showInputMessage="true" sqref="E2:E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42" activeCellId="0" sqref="M42"/>
    </sheetView>
  </sheetViews>
  <sheetFormatPr defaultColWidth="9.36328125" defaultRowHeight="15" customHeight="true" zeroHeight="false" outlineLevelRow="0" outlineLevelCol="0"/>
  <cols>
    <col collapsed="false" customWidth="true" hidden="false" outlineLevel="0" max="1" min="1" style="1" width="6.45"/>
    <col collapsed="false" customWidth="true" hidden="false" outlineLevel="0" max="2" min="2" style="1" width="11.36"/>
    <col collapsed="false" customWidth="true" hidden="false" outlineLevel="0" max="3" min="3" style="1" width="5.45"/>
    <col collapsed="false" customWidth="true" hidden="false" outlineLevel="0" max="4" min="4" style="1" width="10.54"/>
    <col collapsed="false" customWidth="true" hidden="false" outlineLevel="0" max="5" min="5" style="1" width="11.36"/>
    <col collapsed="false" customWidth="true" hidden="false" outlineLevel="0" max="6" min="6" style="1" width="5.54"/>
    <col collapsed="false" customWidth="true" hidden="false" outlineLevel="0" max="7" min="7" style="1" width="8.54"/>
    <col collapsed="false" customWidth="true" hidden="false" outlineLevel="0" max="8" min="8" style="1" width="6.63"/>
    <col collapsed="false" customWidth="true" hidden="false" outlineLevel="0" max="9" min="9" style="1" width="6.54"/>
    <col collapsed="false" customWidth="true" hidden="false" outlineLevel="0" max="10" min="10" style="1" width="15.45"/>
    <col collapsed="false" customWidth="true" hidden="false" outlineLevel="0" max="11" min="11" style="1" width="20.54"/>
    <col collapsed="false" customWidth="true" hidden="false" outlineLevel="0" max="12" min="12" style="1" width="16.36"/>
    <col collapsed="false" customWidth="true" hidden="false" outlineLevel="0" max="13" min="13" style="1" width="14"/>
    <col collapsed="false" customWidth="true" hidden="false" outlineLevel="0" max="14" min="14" style="1" width="23.36"/>
    <col collapsed="false" customWidth="true" hidden="false" outlineLevel="0" max="15" min="15" style="1" width="6.45"/>
    <col collapsed="false" customWidth="true" hidden="false" outlineLevel="0" max="16" min="16" style="1" width="15.45"/>
    <col collapsed="false" customWidth="true" hidden="false" outlineLevel="0" max="17" min="17" style="1" width="13.45"/>
    <col collapsed="false" customWidth="true" hidden="false" outlineLevel="0" max="18" min="18" style="1" width="11"/>
    <col collapsed="false" customWidth="true" hidden="false" outlineLevel="0" max="19" min="19" style="1" width="19.54"/>
    <col collapsed="false" customWidth="true" hidden="false" outlineLevel="0" max="20" min="20" style="1" width="10.45"/>
    <col collapsed="false" customWidth="true" hidden="false" outlineLevel="0" max="21" min="21" style="1" width="33.36"/>
    <col collapsed="false" customWidth="false" hidden="false" outlineLevel="0" max="16384" min="22" style="1" width="9.36"/>
  </cols>
  <sheetData>
    <row r="1" customFormat="false" ht="15" hidden="false" customHeight="true" outlineLevel="0" collapsed="false">
      <c r="A1" s="15" t="s">
        <v>1011</v>
      </c>
      <c r="B1" s="15" t="s">
        <v>2</v>
      </c>
      <c r="C1" s="15" t="s">
        <v>489</v>
      </c>
      <c r="D1" s="15" t="s">
        <v>1251</v>
      </c>
      <c r="E1" s="15" t="s">
        <v>1053</v>
      </c>
      <c r="F1" s="15" t="s">
        <v>2235</v>
      </c>
      <c r="G1" s="15" t="s">
        <v>2236</v>
      </c>
      <c r="H1" s="15" t="s">
        <v>2237</v>
      </c>
      <c r="I1" s="15" t="s">
        <v>2238</v>
      </c>
      <c r="J1" s="15" t="s">
        <v>2239</v>
      </c>
      <c r="K1" s="15" t="s">
        <v>2240</v>
      </c>
      <c r="L1" s="15" t="s">
        <v>2241</v>
      </c>
      <c r="M1" s="15" t="s">
        <v>2242</v>
      </c>
      <c r="N1" s="15" t="s">
        <v>2243</v>
      </c>
      <c r="O1" s="15" t="s">
        <v>1091</v>
      </c>
      <c r="P1" s="15" t="s">
        <v>2244</v>
      </c>
      <c r="Q1" s="15" t="s">
        <v>2245</v>
      </c>
      <c r="R1" s="15" t="s">
        <v>2246</v>
      </c>
      <c r="S1" s="15" t="s">
        <v>2247</v>
      </c>
    </row>
  </sheetData>
  <dataValidations count="8">
    <dataValidation allowBlank="true" error="Whole Numbers Only" errorStyle="stop" operator="greaterThanOrEqual" showDropDown="false" showErrorMessage="true" showInputMessage="true" sqref="F2:G1001" type="whole">
      <formula1>1</formula1>
      <formula2>0</formula2>
    </dataValidation>
    <dataValidation allowBlank="true" error="Numbers Only" errorStyle="stop" operator="greaterThan" showDropDown="false" showErrorMessage="true" showInputMessage="true" sqref="H2:I1001" type="decimal">
      <formula1>0</formula1>
      <formula2>0</formula2>
    </dataValidation>
    <dataValidation allowBlank="true" errorStyle="stop" operator="greaterThan" showDropDown="false" showErrorMessage="true" showInputMessage="true" sqref="J1:J1001" type="none">
      <formula1>0</formula1>
      <formula2>0</formula2>
    </dataValidation>
    <dataValidation allowBlank="true" errorStyle="stop" operator="between" showDropDown="false" showErrorMessage="true" showInputMessage="true" sqref="E2:E1001" type="list">
      <formula1>Enums!$AA$93:$AA$94</formula1>
      <formula2>0</formula2>
    </dataValidation>
    <dataValidation allowBlank="true" errorStyle="stop" operator="between" showDropDown="false" showErrorMessage="true" showInputMessage="true" sqref="N2:N1001 S2:S1001" type="list">
      <formula1>Enums!$A$34:$A$35</formula1>
      <formula2>0</formula2>
    </dataValidation>
    <dataValidation allowBlank="true" errorStyle="stop" operator="between" showDropDown="false" showErrorMessage="true" showInputMessage="true" sqref="O2:O1001" type="list">
      <formula1>Enums!$AA$97:$AA$101</formula1>
      <formula2>0</formula2>
    </dataValidation>
    <dataValidation allowBlank="true" errorStyle="stop" operator="between" showDropDown="false" showErrorMessage="true" showInputMessage="true" sqref="P2:P1001" type="list">
      <formula1>Enums!$AC$34:$AC$37</formula1>
      <formula2>0</formula2>
    </dataValidation>
    <dataValidation allowBlank="true" errorStyle="stop" operator="between" showDropDown="false" showErrorMessage="true" showInputMessage="true" sqref="R2:R1001" type="list">
      <formula1>Enums!$AC$40:$AC$42</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42" activeCellId="0" sqref="M42"/>
    </sheetView>
  </sheetViews>
  <sheetFormatPr defaultColWidth="9.36328125" defaultRowHeight="15" customHeight="true" zeroHeight="false" outlineLevelRow="0" outlineLevelCol="0"/>
  <cols>
    <col collapsed="false" customWidth="true" hidden="false" outlineLevel="0" max="1" min="1" style="39" width="6.45"/>
    <col collapsed="false" customWidth="true" hidden="false" outlineLevel="0" max="2" min="2" style="39" width="14.36"/>
    <col collapsed="false" customWidth="true" hidden="false" outlineLevel="0" max="3" min="3" style="39" width="5.45"/>
    <col collapsed="false" customWidth="true" hidden="false" outlineLevel="0" max="4" min="4" style="39" width="22.36"/>
    <col collapsed="false" customWidth="true" hidden="false" outlineLevel="0" max="5" min="5" style="39" width="12.63"/>
    <col collapsed="false" customWidth="true" hidden="false" outlineLevel="0" max="6" min="6" style="39" width="9.45"/>
    <col collapsed="false" customWidth="true" hidden="false" outlineLevel="0" max="7" min="7" style="39" width="12.63"/>
    <col collapsed="false" customWidth="true" hidden="false" outlineLevel="0" max="8" min="8" style="39" width="17.54"/>
    <col collapsed="false" customWidth="true" hidden="false" outlineLevel="0" max="9" min="9" style="39" width="12.54"/>
    <col collapsed="false" customWidth="true" hidden="false" outlineLevel="0" max="10" min="10" style="39" width="13.63"/>
    <col collapsed="false" customWidth="true" hidden="false" outlineLevel="0" max="11" min="11" style="39" width="20.63"/>
    <col collapsed="false" customWidth="true" hidden="false" outlineLevel="0" max="12" min="12" style="39" width="20.45"/>
    <col collapsed="false" customWidth="true" hidden="false" outlineLevel="0" max="14" min="13" style="39" width="21"/>
    <col collapsed="false" customWidth="true" hidden="false" outlineLevel="0" max="15" min="15" style="39" width="6.54"/>
    <col collapsed="false" customWidth="true" hidden="false" outlineLevel="0" max="16" min="16" style="39" width="16.54"/>
    <col collapsed="false" customWidth="true" hidden="false" outlineLevel="0" max="17" min="17" style="39" width="23.36"/>
    <col collapsed="false" customWidth="true" hidden="false" outlineLevel="0" max="18" min="18" style="39" width="13"/>
    <col collapsed="false" customWidth="true" hidden="false" outlineLevel="0" max="19" min="19" style="39" width="27.45"/>
    <col collapsed="false" customWidth="true" hidden="false" outlineLevel="0" max="20" min="20" style="39" width="17"/>
    <col collapsed="false" customWidth="false" hidden="false" outlineLevel="0" max="16384" min="21" style="39" width="9.36"/>
  </cols>
  <sheetData>
    <row r="1" s="45" customFormat="true" ht="15" hidden="false" customHeight="true" outlineLevel="0" collapsed="false">
      <c r="A1" s="15" t="s">
        <v>1011</v>
      </c>
      <c r="B1" s="15" t="s">
        <v>2096</v>
      </c>
      <c r="C1" s="15" t="s">
        <v>489</v>
      </c>
      <c r="D1" s="15" t="s">
        <v>2248</v>
      </c>
      <c r="E1" s="15" t="s">
        <v>2249</v>
      </c>
      <c r="F1" s="15" t="s">
        <v>1609</v>
      </c>
      <c r="G1" s="15" t="s">
        <v>2250</v>
      </c>
      <c r="H1" s="15" t="s">
        <v>2251</v>
      </c>
      <c r="I1" s="15" t="s">
        <v>1255</v>
      </c>
      <c r="J1" s="15" t="s">
        <v>2252</v>
      </c>
      <c r="K1" s="15" t="s">
        <v>2253</v>
      </c>
      <c r="L1" s="15" t="s">
        <v>2254</v>
      </c>
      <c r="M1" s="15" t="s">
        <v>2255</v>
      </c>
      <c r="N1" s="15" t="s">
        <v>2256</v>
      </c>
      <c r="O1" s="15" t="s">
        <v>2257</v>
      </c>
    </row>
  </sheetData>
  <dataValidations count="7">
    <dataValidation allowBlank="true" errorStyle="stop" operator="between" showDropDown="false" showErrorMessage="true" showInputMessage="true" sqref="S3:S1001" type="list">
      <formula1>"NoSplitOrMergeRestrictions,SplitsNotAllowed,MergesNotAllowed,SplitsAndMergesNotAllowed"</formula1>
      <formula2>0</formula2>
    </dataValidation>
    <dataValidation allowBlank="true" errorStyle="stop" operator="between" showDropDown="false" showErrorMessage="true" showInputMessage="true" sqref="Q3:R1001" type="list">
      <formula1>"Yes,No"</formula1>
      <formula2>0</formula2>
    </dataValidation>
    <dataValidation allowBlank="true" error="Whole Numbers Only" errorStyle="stop" operator="greaterThanOrEqual" showDropDown="false" showErrorMessage="true" showInputMessage="true" sqref="G2:G1001" type="whole">
      <formula1>0</formula1>
      <formula2>0</formula2>
    </dataValidation>
    <dataValidation allowBlank="true" errorStyle="stop" operator="greaterThanOrEqual" showDropDown="false" showErrorMessage="true" showInputMessage="true" sqref="G1" type="none">
      <formula1>0</formula1>
      <formula2>0</formula2>
    </dataValidation>
    <dataValidation allowBlank="true" errorStyle="stop" operator="between" showDropDown="false" showErrorMessage="true" showInputMessage="true" sqref="C2:C1001" type="list">
      <formula1>Enums!$AC$45:$AC$49</formula1>
      <formula2>0</formula2>
    </dataValidation>
    <dataValidation allowBlank="true" errorStyle="stop" operator="between" showDropDown="false" showErrorMessage="true" showInputMessage="true" sqref="F1:F1001" type="list">
      <formula1>Enums!$AC$52:$AC$56</formula1>
      <formula2>0</formula2>
    </dataValidation>
    <dataValidation allowBlank="true" errorStyle="stop" operator="between" showDropDown="false" showErrorMessage="true" showInputMessage="true" sqref="J2:L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M42" activeCellId="0" sqref="M42"/>
    </sheetView>
  </sheetViews>
  <sheetFormatPr defaultColWidth="8.6796875" defaultRowHeight="15" customHeight="true" zeroHeight="false" outlineLevelRow="0" outlineLevelCol="0"/>
  <cols>
    <col collapsed="false" customWidth="true" hidden="false" outlineLevel="0" max="1" min="1" style="0" width="6.45"/>
    <col collapsed="false" customWidth="true" hidden="false" outlineLevel="0" max="2" min="2" style="0" width="11.36"/>
    <col collapsed="false" customWidth="true" hidden="false" outlineLevel="0" max="3" min="3" style="0" width="10.54"/>
    <col collapsed="false" customWidth="true" hidden="false" outlineLevel="0" max="4" min="4" style="0" width="14.36"/>
    <col collapsed="false" customWidth="true" hidden="false" outlineLevel="0" max="5" min="5" style="0" width="5"/>
    <col collapsed="false" customWidth="true" hidden="false" outlineLevel="0" max="6" min="6" style="0" width="9.36"/>
    <col collapsed="false" customWidth="true" hidden="false" outlineLevel="0" max="7" min="7" style="0" width="8.54"/>
    <col collapsed="false" customWidth="true" hidden="false" outlineLevel="0" max="8" min="8" style="0" width="14.45"/>
    <col collapsed="false" customWidth="true" hidden="false" outlineLevel="0" max="9" min="9" style="0" width="8.54"/>
    <col collapsed="false" customWidth="true" hidden="false" outlineLevel="0" max="10" min="10" style="0" width="18.36"/>
    <col collapsed="false" customWidth="true" hidden="false" outlineLevel="0" max="11" min="11" style="0" width="24.45"/>
    <col collapsed="false" customWidth="true" hidden="false" outlineLevel="0" max="12" min="12" style="0" width="16.54"/>
    <col collapsed="false" customWidth="true" hidden="false" outlineLevel="0" max="13" min="13" style="0" width="23.54"/>
    <col collapsed="false" customWidth="true" hidden="false" outlineLevel="0" max="14" min="14" style="0" width="23.36"/>
    <col collapsed="false" customWidth="true" hidden="false" outlineLevel="0" max="15" min="15" style="0" width="33.54"/>
    <col collapsed="false" customWidth="true" hidden="false" outlineLevel="0" max="16" min="16" style="0" width="16.63"/>
    <col collapsed="false" customWidth="true" hidden="false" outlineLevel="0" max="17" min="17" style="0" width="16.54"/>
    <col collapsed="false" customWidth="true" hidden="false" outlineLevel="0" max="18" min="18" style="0" width="23.36"/>
    <col collapsed="false" customWidth="true" hidden="false" outlineLevel="0" max="19" min="19" style="0" width="13"/>
    <col collapsed="false" customWidth="true" hidden="false" outlineLevel="0" max="20" min="20" style="0" width="27.45"/>
    <col collapsed="false" customWidth="true" hidden="false" outlineLevel="0" max="21" min="21" style="0" width="17"/>
  </cols>
  <sheetData>
    <row r="1" s="42" customFormat="true" ht="15" hidden="false" customHeight="true" outlineLevel="0" collapsed="false">
      <c r="A1" s="15" t="s">
        <v>1011</v>
      </c>
      <c r="B1" s="15" t="s">
        <v>2</v>
      </c>
      <c r="C1" s="15" t="s">
        <v>1251</v>
      </c>
      <c r="D1" s="15" t="s">
        <v>2096</v>
      </c>
      <c r="E1" s="15" t="s">
        <v>948</v>
      </c>
      <c r="F1" s="15" t="s">
        <v>386</v>
      </c>
      <c r="G1" s="15" t="s">
        <v>2258</v>
      </c>
      <c r="H1" s="15" t="s">
        <v>2259</v>
      </c>
      <c r="I1" s="15" t="s">
        <v>532</v>
      </c>
    </row>
  </sheetData>
  <dataValidations count="3">
    <dataValidation allowBlank="true" errorStyle="stop" operator="between" showDropDown="false" showErrorMessage="true" showInputMessage="true" sqref="T3:T1001" type="list">
      <formula1>"NoSplitOrMergeRestrictions,SplitsNotAllowed,MergesNotAllowed,SplitsAndMergesNotAllowed"</formula1>
      <formula2>0</formula2>
    </dataValidation>
    <dataValidation allowBlank="true" errorStyle="stop" operator="between" showDropDown="false" showErrorMessage="true" showInputMessage="true" sqref="R3:S1001" type="list">
      <formula1>"Yes,No"</formula1>
      <formula2>0</formula2>
    </dataValidation>
    <dataValidation allowBlank="true" errorStyle="stop" operator="between" showDropDown="false" showErrorMessage="true" showInputMessage="true" sqref="H2:H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F19" activeCellId="0" sqref="F19"/>
    </sheetView>
  </sheetViews>
  <sheetFormatPr defaultColWidth="9.36328125" defaultRowHeight="15" customHeight="true" zeroHeight="false" outlineLevelRow="0" outlineLevelCol="0"/>
  <cols>
    <col collapsed="false" customWidth="true" hidden="false" outlineLevel="0" max="1" min="1" style="37" width="33.36"/>
    <col collapsed="false" customWidth="true" hidden="false" outlineLevel="0" max="2" min="2" style="37" width="34.36"/>
    <col collapsed="false" customWidth="true" hidden="false" outlineLevel="0" max="3" min="3" style="37" width="9"/>
    <col collapsed="false" customWidth="true" hidden="false" outlineLevel="0" max="4" min="4" style="37" width="10.54"/>
    <col collapsed="false" customWidth="true" hidden="false" outlineLevel="0" max="5" min="5" style="37" width="10.63"/>
    <col collapsed="false" customWidth="true" hidden="false" outlineLevel="0" max="6" min="6" style="37" width="11.54"/>
    <col collapsed="false" customWidth="true" hidden="false" outlineLevel="0" max="7" min="7" style="37" width="8.63"/>
    <col collapsed="false" customWidth="true" hidden="false" outlineLevel="0" max="8" min="8" style="37" width="21"/>
    <col collapsed="false" customWidth="true" hidden="false" outlineLevel="0" max="9" min="9" style="37" width="8.45"/>
    <col collapsed="false" customWidth="true" hidden="false" outlineLevel="0" max="10" min="10" style="37" width="68.36"/>
    <col collapsed="false" customWidth="true" hidden="false" outlineLevel="0" max="11" min="11" style="37" width="15.54"/>
    <col collapsed="false" customWidth="true" hidden="false" outlineLevel="0" max="12" min="12" style="37" width="12.54"/>
    <col collapsed="false" customWidth="true" hidden="false" outlineLevel="0" max="13" min="13" style="37" width="18.36"/>
    <col collapsed="false" customWidth="true" hidden="false" outlineLevel="0" max="14" min="14" style="37" width="15"/>
    <col collapsed="false" customWidth="true" hidden="false" outlineLevel="0" max="15" min="15" style="37" width="14.45"/>
    <col collapsed="false" customWidth="true" hidden="false" outlineLevel="0" max="16" min="16" style="37" width="13.45"/>
    <col collapsed="false" customWidth="true" hidden="false" outlineLevel="0" max="17" min="17" style="37" width="8.45"/>
    <col collapsed="false" customWidth="true" hidden="false" outlineLevel="0" max="18" min="18" style="37" width="24.45"/>
    <col collapsed="false" customWidth="true" hidden="false" outlineLevel="0" max="19" min="19" style="37" width="23.54"/>
    <col collapsed="false" customWidth="true" hidden="false" outlineLevel="0" max="20" min="20" style="37" width="9.54"/>
    <col collapsed="false" customWidth="true" hidden="false" outlineLevel="0" max="21" min="21" style="37" width="21.63"/>
    <col collapsed="false" customWidth="true" hidden="false" outlineLevel="0" max="22" min="22" style="37" width="16.45"/>
    <col collapsed="false" customWidth="true" hidden="false" outlineLevel="0" max="23" min="23" style="37" width="23.54"/>
    <col collapsed="false" customWidth="true" hidden="false" outlineLevel="0" max="24" min="24" style="37" width="23.63"/>
    <col collapsed="false" customWidth="true" hidden="false" outlineLevel="0" max="25" min="25" style="37" width="7.54"/>
    <col collapsed="false" customWidth="true" hidden="false" outlineLevel="0" max="26" min="26" style="37" width="25.36"/>
    <col collapsed="false" customWidth="true" hidden="false" outlineLevel="0" max="27" min="27" style="37" width="5.54"/>
    <col collapsed="false" customWidth="true" hidden="false" outlineLevel="0" max="28" min="28" style="37" width="22.54"/>
    <col collapsed="false" customWidth="true" hidden="false" outlineLevel="0" max="29" min="29" style="37" width="20.54"/>
    <col collapsed="false" customWidth="true" hidden="false" outlineLevel="0" max="31" min="30" style="37" width="16.54"/>
    <col collapsed="false" customWidth="true" hidden="false" outlineLevel="0" max="32" min="32" style="37" width="16.63"/>
    <col collapsed="false" customWidth="true" hidden="false" outlineLevel="0" max="33" min="33" style="37" width="13.45"/>
    <col collapsed="false" customWidth="true" hidden="false" outlineLevel="0" max="34" min="34" style="37" width="20.63"/>
    <col collapsed="false" customWidth="true" hidden="false" outlineLevel="0" max="35" min="35" style="37" width="10.54"/>
    <col collapsed="false" customWidth="true" hidden="false" outlineLevel="0" max="36" min="36" style="37" width="22.45"/>
    <col collapsed="false" customWidth="true" hidden="false" outlineLevel="0" max="37" min="37" style="37" width="19.36"/>
    <col collapsed="false" customWidth="true" hidden="false" outlineLevel="0" max="38" min="38" style="37" width="12.63"/>
    <col collapsed="false" customWidth="true" hidden="false" outlineLevel="0" max="39" min="39" style="37" width="14.54"/>
    <col collapsed="false" customWidth="true" hidden="false" outlineLevel="0" max="41" min="40" style="37" width="18.45"/>
    <col collapsed="false" customWidth="false" hidden="false" outlineLevel="0" max="42" min="42" style="37" width="9.36"/>
    <col collapsed="false" customWidth="true" hidden="false" outlineLevel="0" max="43" min="43" style="37" width="15.45"/>
    <col collapsed="false" customWidth="false" hidden="false" outlineLevel="0" max="16384" min="44" style="37" width="9.36"/>
  </cols>
  <sheetData>
    <row r="1" s="38" customFormat="true" ht="15" hidden="false" customHeight="true" outlineLevel="0" collapsed="false">
      <c r="A1" s="15" t="s">
        <v>1011</v>
      </c>
      <c r="B1" s="15" t="s">
        <v>2</v>
      </c>
      <c r="C1" s="15" t="s">
        <v>489</v>
      </c>
      <c r="D1" s="15" t="s">
        <v>1251</v>
      </c>
      <c r="E1" s="15" t="s">
        <v>1506</v>
      </c>
      <c r="F1" s="15" t="s">
        <v>962</v>
      </c>
      <c r="G1" s="15" t="s">
        <v>922</v>
      </c>
      <c r="H1" s="15" t="s">
        <v>644</v>
      </c>
      <c r="I1" s="15" t="s">
        <v>1925</v>
      </c>
      <c r="J1" s="15" t="s">
        <v>1085</v>
      </c>
      <c r="K1" s="15" t="s">
        <v>851</v>
      </c>
      <c r="L1" s="15" t="s">
        <v>1517</v>
      </c>
      <c r="M1" s="15" t="s">
        <v>862</v>
      </c>
      <c r="N1" s="15" t="s">
        <v>1518</v>
      </c>
      <c r="O1" s="15" t="s">
        <v>2260</v>
      </c>
      <c r="P1" s="15" t="s">
        <v>2122</v>
      </c>
      <c r="Q1" s="15" t="s">
        <v>2261</v>
      </c>
      <c r="R1" s="15" t="s">
        <v>2262</v>
      </c>
      <c r="S1" s="15" t="s">
        <v>2263</v>
      </c>
      <c r="T1" s="15" t="s">
        <v>2264</v>
      </c>
      <c r="U1" s="15" t="s">
        <v>2265</v>
      </c>
      <c r="V1" s="15" t="s">
        <v>2266</v>
      </c>
      <c r="W1" s="15" t="s">
        <v>1629</v>
      </c>
      <c r="X1" s="15" t="s">
        <v>2267</v>
      </c>
      <c r="Y1" s="15" t="s">
        <v>354</v>
      </c>
      <c r="Z1" s="15" t="s">
        <v>418</v>
      </c>
      <c r="AA1" s="15" t="s">
        <v>2268</v>
      </c>
      <c r="AB1" s="15" t="s">
        <v>1467</v>
      </c>
      <c r="AC1" s="15" t="s">
        <v>2269</v>
      </c>
      <c r="AD1" s="15" t="s">
        <v>898</v>
      </c>
      <c r="AE1" s="15" t="s">
        <v>2144</v>
      </c>
      <c r="AF1" s="15" t="s">
        <v>350</v>
      </c>
      <c r="AG1" s="15" t="s">
        <v>368</v>
      </c>
      <c r="AH1" s="15" t="s">
        <v>2270</v>
      </c>
      <c r="AI1" s="15" t="s">
        <v>2271</v>
      </c>
      <c r="AJ1" s="15" t="s">
        <v>2272</v>
      </c>
      <c r="AK1" s="15" t="s">
        <v>2273</v>
      </c>
      <c r="AL1" s="15" t="s">
        <v>1628</v>
      </c>
      <c r="AM1" s="15" t="s">
        <v>2274</v>
      </c>
    </row>
  </sheetData>
  <conditionalFormatting sqref="A32:A34">
    <cfRule type="duplicateValues" priority="2" aboveAverage="0" equalAverage="0" bottom="0" percent="0" rank="0" text="" dxfId="240"/>
  </conditionalFormatting>
  <conditionalFormatting sqref="A38:A1048576">
    <cfRule type="duplicateValues" priority="3" aboveAverage="0" equalAverage="0" bottom="0" percent="0" rank="0" text="" dxfId="241"/>
  </conditionalFormatting>
  <dataValidations count="7">
    <dataValidation allowBlank="true" errorStyle="stop" operator="greaterThanOrEqual" showDropDown="false" showErrorMessage="true" showInputMessage="true" sqref="A1:K1 M1:U1 W1:AC1 AE1:AI1 AN1:XFD1 P2:U3 W2:X3 P5:U42 W5:X42 P44:U1001 W44:X1001" type="none">
      <formula1>0</formula1>
      <formula2>0</formula2>
    </dataValidation>
    <dataValidation allowBlank="true" error="Numbers Only" errorStyle="stop" operator="greaterThanOrEqual" showDropDown="false" showErrorMessage="true" showInputMessage="true" sqref="N2:N3 N5:N42 N44:N205 K206:K1001 M206:M1001" type="decimal">
      <formula1>0</formula1>
      <formula2>0</formula2>
    </dataValidation>
    <dataValidation allowBlank="true" error="Whole Number Between 1 and 10" errorStyle="stop" operator="between" showDropDown="false" showErrorMessage="true" showInputMessage="true" sqref="Y2:Y3 Y5:Y42 Y44:Y1001" type="whole">
      <formula1>1</formula1>
      <formula2>10</formula2>
    </dataValidation>
    <dataValidation allowBlank="true" errorStyle="stop" operator="between" showDropDown="false" showErrorMessage="true" showInputMessage="true" sqref="E2:E233" type="list">
      <formula1>"Yes,No"</formula1>
      <formula2>0</formula2>
    </dataValidation>
    <dataValidation allowBlank="true" errorStyle="stop" operator="greaterThanOrEqual" showDropDown="false" showErrorMessage="true" showInputMessage="true" sqref="V1 V33:V42 V44:V1001" type="list">
      <formula1>Enums!$A$34:$A$35</formula1>
      <formula2>0</formula2>
    </dataValidation>
    <dataValidation allowBlank="true" errorStyle="stop" operator="between" showDropDown="false" showErrorMessage="true" showInputMessage="true" sqref="Z33:Z42 Z44:Z1001" type="list">
      <formula1>Enums!$W$34:$W$37</formula1>
      <formula2>0</formula2>
    </dataValidation>
    <dataValidation allowBlank="true" errorStyle="stop" operator="between" showDropDown="false" showErrorMessage="true" showInputMessage="true" sqref="AA33:AC42 AH33:AI42 AA44:AC1001 AH44:AI1001" type="list">
      <formula1>Enums!$A$34:$A$35</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&amp;C_x005F_x000D_&amp;1#&amp;10 ENTEGRIS PROPRIETARY AND CONFIDENTIAL – INTERNAL</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E4352A6E9ABB4BB1E384A064CFC639" ma:contentTypeVersion="23" ma:contentTypeDescription="Create a new document." ma:contentTypeScope="" ma:versionID="e37208ca012615d8fd46b1109660f13d">
  <xsd:schema xmlns:xsd="http://www.w3.org/2001/XMLSchema" xmlns:xs="http://www.w3.org/2001/XMLSchema" xmlns:p="http://schemas.microsoft.com/office/2006/metadata/properties" xmlns:ns1="http://schemas.microsoft.com/sharepoint/v3" xmlns:ns2="19bba96b-5301-498e-8d49-a63e877168d6" xmlns:ns3="ed9a0125-603a-41bc-9cad-5edaa5f61403" targetNamespace="http://schemas.microsoft.com/office/2006/metadata/properties" ma:root="true" ma:fieldsID="f55b93028e1b542d2e3fd1bf2b4a0aae" ns1:_="" ns2:_="" ns3:_="">
    <xsd:import namespace="http://schemas.microsoft.com/sharepoint/v3"/>
    <xsd:import namespace="19bba96b-5301-498e-8d49-a63e877168d6"/>
    <xsd:import namespace="ed9a0125-603a-41bc-9cad-5edaa5f6140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Comment"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bba96b-5301-498e-8d49-a63e877168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6c90737-979e-47d9-80fe-35e66bf5e06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Comment" ma:index="22" nillable="true" ma:displayName="Comment" ma:format="Dropdown" ma:internalName="Comment">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Status" ma:index="28" nillable="true" ma:displayName="Status" ma:description="Status of the Design" ma:format="Dropdown" ma:internalName="Status">
      <xsd:simpleType>
        <xsd:restriction base="dms:Choice">
          <xsd:enumeration value="Approved"/>
        </xsd:restriction>
      </xsd:simpleType>
    </xsd:element>
  </xsd:schema>
  <xsd:schema xmlns:xsd="http://www.w3.org/2001/XMLSchema" xmlns:xs="http://www.w3.org/2001/XMLSchema" xmlns:dms="http://schemas.microsoft.com/office/2006/documentManagement/types" xmlns:pc="http://schemas.microsoft.com/office/infopath/2007/PartnerControls" targetNamespace="ed9a0125-603a-41bc-9cad-5edaa5f6140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bbff62bf-c217-4665-8daa-4dcffb39bfe5}" ma:internalName="TaxCatchAll" ma:showField="CatchAllData" ma:web="ed9a0125-603a-41bc-9cad-5edaa5f614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9a0125-603a-41bc-9cad-5edaa5f61403" xsi:nil="true"/>
    <lcf76f155ced4ddcb4097134ff3c332f xmlns="19bba96b-5301-498e-8d49-a63e877168d6">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Comment xmlns="19bba96b-5301-498e-8d49-a63e877168d6" xsi:nil="true"/>
    <Status xmlns="19bba96b-5301-498e-8d49-a63e877168d6" xsi:nil="true"/>
  </documentManagement>
</p:properties>
</file>

<file path=customXml/itemProps1.xml><?xml version="1.0" encoding="utf-8"?>
<ds:datastoreItem xmlns:ds="http://schemas.openxmlformats.org/officeDocument/2006/customXml" ds:itemID="{AB9F7FE0-91C6-44EF-B56A-01AA8B17C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bba96b-5301-498e-8d49-a63e877168d6"/>
    <ds:schemaRef ds:uri="ed9a0125-603a-41bc-9cad-5edaa5f614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1E49E-F61D-4051-9662-19E1C2065220}">
  <ds:schemaRefs>
    <ds:schemaRef ds:uri="http://schemas.microsoft.com/sharepoint/v3/contenttype/forms"/>
  </ds:schemaRefs>
</ds:datastoreItem>
</file>

<file path=customXml/itemProps3.xml><?xml version="1.0" encoding="utf-8"?>
<ds:datastoreItem xmlns:ds="http://schemas.openxmlformats.org/officeDocument/2006/customXml" ds:itemID="{768BE8B6-7D15-47CF-818C-4378EE25329A}">
  <ds:schemaRefs>
    <ds:schemaRef ds:uri="http://purl.org/dc/terms/"/>
    <ds:schemaRef ds:uri="19bba96b-5301-498e-8d49-a63e877168d6"/>
    <ds:schemaRef ds:uri="http://purl.org/dc/dcmitype/"/>
    <ds:schemaRef ds:uri="http://purl.org/dc/elements/1.1/"/>
    <ds:schemaRef ds:uri="http://schemas.microsoft.com/office/infopath/2007/PartnerControls"/>
    <ds:schemaRef ds:uri="http://www.w3.org/XML/1998/namespace"/>
    <ds:schemaRef ds:uri="http://schemas.openxmlformats.org/package/2006/metadata/core-properties"/>
    <ds:schemaRef ds:uri="http://schemas.microsoft.com/sharepoint/v3"/>
    <ds:schemaRef ds:uri="http://schemas.microsoft.com/office/2006/documentManagement/types"/>
    <ds:schemaRef ds:uri="ed9a0125-603a-41bc-9cad-5edaa5f6140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Company>Critical Software, S.A.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2009-07-21T11:27:16Z</dcterms:created>
  <dc:creator>João Rafael Cortez</dc:creator>
  <dc:description/>
  <dc:language>en-IN</dc:language>
  <cp:lastModifiedBy>Yogita Senthil</cp:lastModifiedBy>
  <dcterms:modified xsi:type="dcterms:W3CDTF">2026-06-22T15:46:44Z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0x01010033E4352A6E9ABB4BB1E384A064CFC639</vt:lpwstr>
  </property>
  <property fmtid="{D5CDD505-2E9C-101B-9397-08002B2CF9AE}" pid="3" name="MSIP_Label_ce60bcce-d4df-47e1-9234-cfe82b789499_ActionId">
    <vt:lpwstr>9ecaa17e-dbab-4326-8d7b-e724097ab2f8</vt:lpwstr>
  </property>
  <property fmtid="{D5CDD505-2E9C-101B-9397-08002B2CF9AE}" pid="4" name="MSIP_Label_ce60bcce-d4df-47e1-9234-cfe82b789499_ContentBits">
    <vt:lpwstr>2</vt:lpwstr>
  </property>
  <property fmtid="{D5CDD505-2E9C-101B-9397-08002B2CF9AE}" pid="5" name="MSIP_Label_ce60bcce-d4df-47e1-9234-cfe82b789499_Enabled">
    <vt:lpwstr>true</vt:lpwstr>
  </property>
  <property fmtid="{D5CDD505-2E9C-101B-9397-08002B2CF9AE}" pid="6" name="MSIP_Label_ce60bcce-d4df-47e1-9234-cfe82b789499_Method">
    <vt:lpwstr>Standard</vt:lpwstr>
  </property>
  <property fmtid="{D5CDD505-2E9C-101B-9397-08002B2CF9AE}" pid="7" name="MSIP_Label_ce60bcce-d4df-47e1-9234-cfe82b789499_Name">
    <vt:lpwstr>ce60bcce-d4df-47e1-9234-cfe82b789499</vt:lpwstr>
  </property>
  <property fmtid="{D5CDD505-2E9C-101B-9397-08002B2CF9AE}" pid="8" name="MSIP_Label_ce60bcce-d4df-47e1-9234-cfe82b789499_SetDate">
    <vt:lpwstr>2023-12-18T02:07:07Z</vt:lpwstr>
  </property>
  <property fmtid="{D5CDD505-2E9C-101B-9397-08002B2CF9AE}" pid="9" name="MSIP_Label_ce60bcce-d4df-47e1-9234-cfe82b789499_SiteId">
    <vt:lpwstr>4494342c-10c2-46ae-a60c-c172122e8b05</vt:lpwstr>
  </property>
  <property fmtid="{D5CDD505-2E9C-101B-9397-08002B2CF9AE}" pid="10" name="MediaServiceImageTags">
    <vt:lpwstr/>
  </property>
</Properties>
</file>